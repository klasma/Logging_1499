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46305</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46305</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46305</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46305</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46305</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46305</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46305</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46305</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3607-2023</t>
        </is>
      </c>
      <c r="B10" t="inlineStr">
        <is>
          <t>avverkningsanmälan</t>
        </is>
      </c>
      <c r="C10" t="inlineStr">
        <is>
          <t>Avverkning för annat ändamål</t>
        </is>
      </c>
      <c r="D10" s="1" t="n">
        <v>44950</v>
      </c>
      <c r="E10" s="1" t="n">
        <v>46305</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30609-2025</t>
        </is>
      </c>
      <c r="B11" t="inlineStr">
        <is>
          <t>avverkningsanmälan</t>
        </is>
      </c>
      <c r="C11" t="inlineStr">
        <is>
          <t>Avverkning för annat ändamål</t>
        </is>
      </c>
      <c r="D11" s="1" t="n">
        <v>45831</v>
      </c>
      <c r="E11" s="1" t="n">
        <v>46305</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46305</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46305</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46305</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46305</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46305</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46305</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46305</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10455-2024</t>
        </is>
      </c>
      <c r="B19" t="inlineStr">
        <is>
          <t>avverkningsanmälan</t>
        </is>
      </c>
      <c r="C19" t="inlineStr">
        <is>
          <t>Föryngringsavverkning</t>
        </is>
      </c>
      <c r="D19" s="1" t="n">
        <v>45366</v>
      </c>
      <c r="E19" s="1" t="n">
        <v>46305</v>
      </c>
      <c r="F19" t="inlineStr">
        <is>
          <t>VÄSTRA GÖTALANDS LÄN</t>
        </is>
      </c>
      <c r="G19" t="inlineStr">
        <is>
          <t>FALKÖPING</t>
        </is>
      </c>
      <c r="I19" t="n">
        <v>2.5</v>
      </c>
      <c r="J19" t="n">
        <v>2</v>
      </c>
      <c r="K19" t="n">
        <v>0</v>
      </c>
      <c r="L19" t="n">
        <v>0</v>
      </c>
      <c r="M19" t="n">
        <v>0</v>
      </c>
      <c r="N19" t="n">
        <v>1</v>
      </c>
      <c r="O19" t="n">
        <v>0</v>
      </c>
      <c r="P19" t="n">
        <v>0</v>
      </c>
      <c r="Q19" t="n">
        <v>1</v>
      </c>
      <c r="R19" t="n">
        <v>1</v>
      </c>
      <c r="S19" t="n">
        <v>2</v>
      </c>
      <c r="T19" t="n">
        <v>2</v>
      </c>
      <c r="U19" t="n">
        <v>0</v>
      </c>
      <c r="V19" s="2" t="inlineStr">
        <is>
          <t>Storspov
Röd glada</t>
        </is>
      </c>
      <c r="W19">
        <f>HYPERLINK("https://klasma.github.io/Logging_1499/artfynd/A 10455-2024 artfynd.xlsx", "A 10455-2024")</f>
        <v/>
      </c>
      <c r="X19">
        <f>HYPERLINK("https://klasma.github.io/Logging_1499/kartor/A 10455-2024 karta.png", "A 10455-2024")</f>
        <v/>
      </c>
      <c r="Y19">
        <f>HYPERLINK("https://klasma.github.io/Logging_1499/kartor_geotiff/A 10455-2024 georefererad karta.tif", "A 10455-2024")</f>
        <v/>
      </c>
      <c r="AA19">
        <f>HYPERLINK("https://klasma.github.io/Logging_1499/klagomål/A 10455-2024 FSC-klagomål.docx", "A 10455-2024")</f>
        <v/>
      </c>
      <c r="AB19">
        <f>HYPERLINK("https://klasma.github.io/Logging_1499/klagomålsmail/A 10455-2024 FSC-klagomål mail.docx", "A 10455-2024")</f>
        <v/>
      </c>
      <c r="AC19">
        <f>HYPERLINK("https://klasma.github.io/Logging_1499/tillsyn/A 10455-2024 tillsynsbegäran.docx", "A 10455-2024")</f>
        <v/>
      </c>
      <c r="AD19">
        <f>HYPERLINK("https://klasma.github.io/Logging_1499/tillsynsmail/A 10455-2024 tillsynsbegäran mail.docx", "A 10455-2024")</f>
        <v/>
      </c>
      <c r="AE19">
        <f>HYPERLINK("https://klasma.github.io/Logging_1499/fåglar/A 10455-2024 prioriterade fågelarter.docx", "A 10455-2024")</f>
        <v/>
      </c>
    </row>
    <row r="20" ht="15" customHeight="1">
      <c r="A20" t="inlineStr">
        <is>
          <t>A 22808-2023</t>
        </is>
      </c>
      <c r="B20" t="inlineStr">
        <is>
          <t>avverkningsanmälan</t>
        </is>
      </c>
      <c r="C20" t="inlineStr">
        <is>
          <t>Avverkning för annat ändamål</t>
        </is>
      </c>
      <c r="D20" s="1" t="n">
        <v>45072</v>
      </c>
      <c r="E20" s="1" t="n">
        <v>46305</v>
      </c>
      <c r="F20" t="inlineStr">
        <is>
          <t>VÄSTRA GÖTALANDS LÄN</t>
        </is>
      </c>
      <c r="G20" t="inlineStr">
        <is>
          <t>FALKÖPING</t>
        </is>
      </c>
      <c r="I20" t="n">
        <v>2.2</v>
      </c>
      <c r="J20" t="n">
        <v>2</v>
      </c>
      <c r="K20" t="n">
        <v>0</v>
      </c>
      <c r="L20" t="n">
        <v>0</v>
      </c>
      <c r="M20" t="n">
        <v>0</v>
      </c>
      <c r="N20" t="n">
        <v>0</v>
      </c>
      <c r="O20" t="n">
        <v>0</v>
      </c>
      <c r="P20" t="n">
        <v>0</v>
      </c>
      <c r="Q20" t="n">
        <v>0</v>
      </c>
      <c r="R20" t="n">
        <v>0</v>
      </c>
      <c r="S20" t="n">
        <v>2</v>
      </c>
      <c r="T20" t="n">
        <v>2</v>
      </c>
      <c r="U20" t="n">
        <v>2</v>
      </c>
      <c r="V20" s="2" t="inlineStr">
        <is>
          <t>Större vattensalamander
Mindre vattensalamander</t>
        </is>
      </c>
      <c r="W20">
        <f>HYPERLINK("https://klasma.github.io/Logging_1499/artfynd/A 22808-2023 artfynd.xlsx", "A 22808-2023")</f>
        <v/>
      </c>
      <c r="X20">
        <f>HYPERLINK("https://klasma.github.io/Logging_1499/kartor/A 22808-2023 karta.png", "A 22808-2023")</f>
        <v/>
      </c>
      <c r="Y20">
        <f>HYPERLINK("https://klasma.github.io/Logging_1499/kartor_geotiff/A 22808-2023 georefererad karta.tif", "A 22808-2023")</f>
        <v/>
      </c>
      <c r="AA20">
        <f>HYPERLINK("https://klasma.github.io/Logging_1499/klagomål/A 22808-2023 FSC-klagomål.docx", "A 22808-2023")</f>
        <v/>
      </c>
      <c r="AB20">
        <f>HYPERLINK("https://klasma.github.io/Logging_1499/klagomålsmail/A 22808-2023 FSC-klagomål mail.docx", "A 22808-2023")</f>
        <v/>
      </c>
      <c r="AC20">
        <f>HYPERLINK("https://klasma.github.io/Logging_1499/tillsyn/A 22808-2023 tillsynsbegäran.docx", "A 22808-2023")</f>
        <v/>
      </c>
      <c r="AD20">
        <f>HYPERLINK("https://klasma.github.io/Logging_1499/tillsynsmail/A 22808-2023 tillsynsbegäran mail.docx", "A 22808-2023")</f>
        <v/>
      </c>
    </row>
    <row r="21" ht="15" customHeight="1">
      <c r="A21" t="inlineStr">
        <is>
          <t>A 31071-2024</t>
        </is>
      </c>
      <c r="B21" t="inlineStr">
        <is>
          <t>avverkningsanmälan</t>
        </is>
      </c>
      <c r="C21" t="inlineStr">
        <is>
          <t>Avverkning för att bevara och utveckla /försöksver</t>
        </is>
      </c>
      <c r="D21" s="1" t="n">
        <v>45502</v>
      </c>
      <c r="E21" s="1" t="n">
        <v>46305</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41082-2024</t>
        </is>
      </c>
      <c r="B22" t="inlineStr">
        <is>
          <t>avverkningsanmälan</t>
        </is>
      </c>
      <c r="C22" t="inlineStr">
        <is>
          <t>Avverkning för annat ändamål</t>
        </is>
      </c>
      <c r="D22" s="1" t="n">
        <v>45559</v>
      </c>
      <c r="E22" s="1" t="n">
        <v>46305</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t="n">
        <v>0</v>
      </c>
      <c r="V22" s="2" t="inlineStr">
        <is>
          <t>Kråka
Röd glada</t>
        </is>
      </c>
      <c r="W22">
        <f>HYPERLINK("https://klasma.github.io/Logging_1499/artfynd/A 41082-2024 artfynd.xlsx", "A 41082-2024")</f>
        <v/>
      </c>
      <c r="X22">
        <f>HYPERLINK("https://klasma.github.io/Logging_1499/kartor/A 41082-2024 karta.png", "A 41082-2024")</f>
        <v/>
      </c>
      <c r="Y22">
        <f>HYPERLINK("https://klasma.github.io/Logging_1499/kartor_geotiff/A 41082-2024 georefererad karta.tif", "A 41082-2024")</f>
        <v/>
      </c>
      <c r="AA22">
        <f>HYPERLINK("https://klasma.github.io/Logging_1499/klagomål/A 41082-2024 FSC-klagomål.docx", "A 41082-2024")</f>
        <v/>
      </c>
      <c r="AB22">
        <f>HYPERLINK("https://klasma.github.io/Logging_1499/klagomålsmail/A 41082-2024 FSC-klagomål mail.docx", "A 41082-2024")</f>
        <v/>
      </c>
      <c r="AC22">
        <f>HYPERLINK("https://klasma.github.io/Logging_1499/tillsyn/A 41082-2024 tillsynsbegäran.docx", "A 41082-2024")</f>
        <v/>
      </c>
      <c r="AD22">
        <f>HYPERLINK("https://klasma.github.io/Logging_1499/tillsynsmail/A 41082-2024 tillsynsbegäran mail.docx", "A 41082-2024")</f>
        <v/>
      </c>
      <c r="AE22">
        <f>HYPERLINK("https://klasma.github.io/Logging_1499/fåglar/A 41082-2024 prioriterade fågelarter.docx", "A 41082-2024")</f>
        <v/>
      </c>
    </row>
    <row r="23" ht="15" customHeight="1">
      <c r="A23" t="inlineStr">
        <is>
          <t>A 50964-2024</t>
        </is>
      </c>
      <c r="B23" t="inlineStr">
        <is>
          <t>avverkningsanmälan</t>
        </is>
      </c>
      <c r="C23" t="inlineStr">
        <is>
          <t>Föryngringsavverkning</t>
        </is>
      </c>
      <c r="D23" s="1" t="n">
        <v>45603</v>
      </c>
      <c r="E23" s="1" t="n">
        <v>46305</v>
      </c>
      <c r="F23" t="inlineStr">
        <is>
          <t>VÄSTRA GÖTALANDS LÄN</t>
        </is>
      </c>
      <c r="G23" t="inlineStr">
        <is>
          <t>FALKÖPING</t>
        </is>
      </c>
      <c r="I23" t="n">
        <v>1.3</v>
      </c>
      <c r="J23" t="n">
        <v>0</v>
      </c>
      <c r="K23" t="n">
        <v>1</v>
      </c>
      <c r="L23" t="n">
        <v>0</v>
      </c>
      <c r="M23" t="n">
        <v>0</v>
      </c>
      <c r="N23" t="n">
        <v>1</v>
      </c>
      <c r="O23" t="n">
        <v>0</v>
      </c>
      <c r="P23" t="n">
        <v>0</v>
      </c>
      <c r="Q23" t="n">
        <v>1</v>
      </c>
      <c r="R23" t="n">
        <v>1</v>
      </c>
      <c r="S23" t="n">
        <v>2</v>
      </c>
      <c r="T23" t="n">
        <v>2</v>
      </c>
      <c r="U23" t="n">
        <v>2</v>
      </c>
      <c r="V23" s="2" t="inlineStr">
        <is>
          <t>Skogsalm
Hässleklocka</t>
        </is>
      </c>
      <c r="W23">
        <f>HYPERLINK("https://klasma.github.io/Logging_1499/artfynd/A 50964-2024 artfynd.xlsx", "A 50964-2024")</f>
        <v/>
      </c>
      <c r="X23">
        <f>HYPERLINK("https://klasma.github.io/Logging_1499/kartor/A 50964-2024 karta.png", "A 50964-2024")</f>
        <v/>
      </c>
      <c r="Y23">
        <f>HYPERLINK("https://klasma.github.io/Logging_1499/kartor_geotiff/A 50964-2024 georefererad karta.tif", "A 50964-2024")</f>
        <v/>
      </c>
      <c r="AA23">
        <f>HYPERLINK("https://klasma.github.io/Logging_1499/klagomål/A 50964-2024 FSC-klagomål.docx", "A 50964-2024")</f>
        <v/>
      </c>
      <c r="AB23">
        <f>HYPERLINK("https://klasma.github.io/Logging_1499/klagomålsmail/A 50964-2024 FSC-klagomål mail.docx", "A 50964-2024")</f>
        <v/>
      </c>
      <c r="AC23">
        <f>HYPERLINK("https://klasma.github.io/Logging_1499/tillsyn/A 50964-2024 tillsynsbegäran.docx", "A 50964-2024")</f>
        <v/>
      </c>
      <c r="AD23">
        <f>HYPERLINK("https://klasma.github.io/Logging_1499/tillsynsmail/A 50964-2024 tillsynsbegäran mail.docx", "A 50964-2024")</f>
        <v/>
      </c>
    </row>
    <row r="24" ht="15" customHeight="1">
      <c r="A24" t="inlineStr">
        <is>
          <t>A 26163-2023</t>
        </is>
      </c>
      <c r="B24" t="inlineStr">
        <is>
          <t>avverkningsanmälan</t>
        </is>
      </c>
      <c r="C24" t="inlineStr">
        <is>
          <t>Föryngringsavverkning</t>
        </is>
      </c>
      <c r="D24" s="1" t="n">
        <v>45091</v>
      </c>
      <c r="E24" s="1" t="n">
        <v>46305</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28676-2022</t>
        </is>
      </c>
      <c r="B25" t="inlineStr">
        <is>
          <t>avverkningsanmälan</t>
        </is>
      </c>
      <c r="C25" t="inlineStr">
        <is>
          <t>Föryngringsavverkning</t>
        </is>
      </c>
      <c r="D25" s="1" t="n">
        <v>44748</v>
      </c>
      <c r="E25" s="1" t="n">
        <v>46305</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6252-2024</t>
        </is>
      </c>
      <c r="B26" t="inlineStr">
        <is>
          <t>avverkningsanmälan</t>
        </is>
      </c>
      <c r="C26" t="inlineStr">
        <is>
          <t>Föryngringsavverkning</t>
        </is>
      </c>
      <c r="D26" s="1" t="n">
        <v>45337</v>
      </c>
      <c r="E26" s="1" t="n">
        <v>46305</v>
      </c>
      <c r="F26" t="inlineStr">
        <is>
          <t>VÄSTRA GÖTALANDS LÄN</t>
        </is>
      </c>
      <c r="G26" t="inlineStr">
        <is>
          <t>FALKÖPING</t>
        </is>
      </c>
      <c r="I26" t="n">
        <v>4.2</v>
      </c>
      <c r="J26" t="n">
        <v>2</v>
      </c>
      <c r="K26" t="n">
        <v>0</v>
      </c>
      <c r="L26" t="n">
        <v>0</v>
      </c>
      <c r="M26" t="n">
        <v>0</v>
      </c>
      <c r="N26" t="n">
        <v>0</v>
      </c>
      <c r="O26" t="n">
        <v>0</v>
      </c>
      <c r="P26" t="n">
        <v>0</v>
      </c>
      <c r="Q26" t="n">
        <v>0</v>
      </c>
      <c r="R26" t="n">
        <v>0</v>
      </c>
      <c r="S26" t="n">
        <v>2</v>
      </c>
      <c r="T26" t="n">
        <v>3</v>
      </c>
      <c r="U26" t="n">
        <v>3</v>
      </c>
      <c r="V26" s="2" t="inlineStr">
        <is>
          <t>Blåsippa
Revlummer</t>
        </is>
      </c>
      <c r="W26">
        <f>HYPERLINK("https://klasma.github.io/Logging_1499/artfynd/A 6252-2024 artfynd.xlsx", "A 6252-2024")</f>
        <v/>
      </c>
      <c r="X26">
        <f>HYPERLINK("https://klasma.github.io/Logging_1499/kartor/A 6252-2024 karta.png", "A 6252-2024")</f>
        <v/>
      </c>
      <c r="Y26">
        <f>HYPERLINK("https://klasma.github.io/Logging_1499/kartor_geotiff/A 6252-2024 georefererad karta.tif", "A 6252-2024")</f>
        <v/>
      </c>
      <c r="AA26">
        <f>HYPERLINK("https://klasma.github.io/Logging_1499/klagomål/A 6252-2024 FSC-klagomål.docx", "A 6252-2024")</f>
        <v/>
      </c>
      <c r="AB26">
        <f>HYPERLINK("https://klasma.github.io/Logging_1499/klagomålsmail/A 6252-2024 FSC-klagomål mail.docx", "A 6252-2024")</f>
        <v/>
      </c>
      <c r="AC26">
        <f>HYPERLINK("https://klasma.github.io/Logging_1499/tillsyn/A 6252-2024 tillsynsbegäran.docx", "A 6252-2024")</f>
        <v/>
      </c>
      <c r="AD26">
        <f>HYPERLINK("https://klasma.github.io/Logging_1499/tillsynsmail/A 6252-2024 tillsynsbegäran mail.docx", "A 6252-2024")</f>
        <v/>
      </c>
    </row>
    <row r="27" ht="15" customHeight="1">
      <c r="A27" t="inlineStr">
        <is>
          <t>A 55725-2023</t>
        </is>
      </c>
      <c r="B27" t="inlineStr">
        <is>
          <t>avverkningsanmälan</t>
        </is>
      </c>
      <c r="C27" t="inlineStr">
        <is>
          <t>Föryngringsavverkning</t>
        </is>
      </c>
      <c r="D27" s="1" t="n">
        <v>45232</v>
      </c>
      <c r="E27" s="1" t="n">
        <v>46305</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58687-2025</t>
        </is>
      </c>
      <c r="B28" t="inlineStr">
        <is>
          <t>avverkningsanmälan</t>
        </is>
      </c>
      <c r="C28" t="inlineStr">
        <is>
          <t>Avverkning för att bevara och utveckla /försöksver</t>
        </is>
      </c>
      <c r="D28" s="1" t="n">
        <v>45986</v>
      </c>
      <c r="E28" s="1" t="n">
        <v>46305</v>
      </c>
      <c r="F28" t="inlineStr">
        <is>
          <t>VÄSTRA GÖTALANDS LÄN</t>
        </is>
      </c>
      <c r="G28" t="inlineStr">
        <is>
          <t>FALKÖPING</t>
        </is>
      </c>
      <c r="I28" t="n">
        <v>3.6</v>
      </c>
      <c r="J28" t="n">
        <v>1</v>
      </c>
      <c r="K28" t="n">
        <v>0</v>
      </c>
      <c r="L28" t="n">
        <v>1</v>
      </c>
      <c r="M28" t="n">
        <v>0</v>
      </c>
      <c r="N28" t="n">
        <v>0</v>
      </c>
      <c r="O28" t="n">
        <v>0</v>
      </c>
      <c r="P28" t="n">
        <v>0</v>
      </c>
      <c r="Q28" t="n">
        <v>1</v>
      </c>
      <c r="R28" t="n">
        <v>0</v>
      </c>
      <c r="S28" t="n">
        <v>2</v>
      </c>
      <c r="T28" t="n">
        <v>2</v>
      </c>
      <c r="U28" t="n">
        <v>0</v>
      </c>
      <c r="V28" s="2" t="inlineStr">
        <is>
          <t>Jungfrulin
Gullviva</t>
        </is>
      </c>
      <c r="W28">
        <f>HYPERLINK("https://klasma.github.io/Logging_1499/artfynd/A 58687-2025 artfynd.xlsx", "A 58687-2025")</f>
        <v/>
      </c>
      <c r="X28">
        <f>HYPERLINK("https://klasma.github.io/Logging_1499/kartor/A 58687-2025 karta.png", "A 58687-2025")</f>
        <v/>
      </c>
      <c r="Y28">
        <f>HYPERLINK("https://klasma.github.io/Logging_1499/kartor_geotiff/A 58687-2025 georefererad karta.tif", "A 58687-2025")</f>
        <v/>
      </c>
      <c r="AA28">
        <f>HYPERLINK("https://klasma.github.io/Logging_1499/klagomål/A 58687-2025 FSC-klagomål.docx", "A 58687-2025")</f>
        <v/>
      </c>
      <c r="AB28">
        <f>HYPERLINK("https://klasma.github.io/Logging_1499/klagomålsmail/A 58687-2025 FSC-klagomål mail.docx", "A 58687-2025")</f>
        <v/>
      </c>
      <c r="AC28">
        <f>HYPERLINK("https://klasma.github.io/Logging_1499/tillsyn/A 58687-2025 tillsynsbegäran.docx", "A 58687-2025")</f>
        <v/>
      </c>
      <c r="AD28">
        <f>HYPERLINK("https://klasma.github.io/Logging_1499/tillsynsmail/A 58687-2025 tillsynsbegäran mail.docx", "A 58687-2025")</f>
        <v/>
      </c>
    </row>
    <row r="29" ht="15" customHeight="1">
      <c r="A29" t="inlineStr">
        <is>
          <t>A 61984-2025</t>
        </is>
      </c>
      <c r="B29" t="inlineStr">
        <is>
          <t>avverkningsanmälan</t>
        </is>
      </c>
      <c r="C29" t="inlineStr">
        <is>
          <t>Föryngringsavverkning</t>
        </is>
      </c>
      <c r="D29" s="1" t="n">
        <v>46003</v>
      </c>
      <c r="E29" s="1" t="n">
        <v>46305</v>
      </c>
      <c r="F29" t="inlineStr">
        <is>
          <t>VÄSTRA GÖTALANDS LÄN</t>
        </is>
      </c>
      <c r="G29" t="inlineStr">
        <is>
          <t>FALKÖPING</t>
        </is>
      </c>
      <c r="I29" t="n">
        <v>5.7</v>
      </c>
      <c r="J29" t="n">
        <v>1</v>
      </c>
      <c r="K29" t="n">
        <v>2</v>
      </c>
      <c r="L29" t="n">
        <v>0</v>
      </c>
      <c r="M29" t="n">
        <v>0</v>
      </c>
      <c r="N29" t="n">
        <v>0</v>
      </c>
      <c r="O29" t="n">
        <v>0</v>
      </c>
      <c r="P29" t="n">
        <v>0</v>
      </c>
      <c r="Q29" t="n">
        <v>0</v>
      </c>
      <c r="R29" t="n">
        <v>0</v>
      </c>
      <c r="S29" t="n">
        <v>2</v>
      </c>
      <c r="T29" t="n">
        <v>3</v>
      </c>
      <c r="U29" t="n">
        <v>0</v>
      </c>
      <c r="V29" s="2" t="inlineStr">
        <is>
          <t>Spindelblomster
Springkorn</t>
        </is>
      </c>
      <c r="W29">
        <f>HYPERLINK("https://klasma.github.io/Logging_1499/artfynd/A 61984-2025 artfynd.xlsx", "A 61984-2025")</f>
        <v/>
      </c>
      <c r="X29">
        <f>HYPERLINK("https://klasma.github.io/Logging_1499/kartor/A 61984-2025 karta.png", "A 61984-2025")</f>
        <v/>
      </c>
      <c r="Y29">
        <f>HYPERLINK("https://klasma.github.io/Logging_1499/kartor_geotiff/A 61984-2025 georefererad karta.tif", "A 61984-2025")</f>
        <v/>
      </c>
      <c r="AA29">
        <f>HYPERLINK("https://klasma.github.io/Logging_1499/klagomål/A 61984-2025 FSC-klagomål.docx", "A 61984-2025")</f>
        <v/>
      </c>
      <c r="AB29">
        <f>HYPERLINK("https://klasma.github.io/Logging_1499/klagomålsmail/A 61984-2025 FSC-klagomål mail.docx", "A 61984-2025")</f>
        <v/>
      </c>
      <c r="AC29">
        <f>HYPERLINK("https://klasma.github.io/Logging_1499/tillsyn/A 61984-2025 tillsynsbegäran.docx", "A 61984-2025")</f>
        <v/>
      </c>
      <c r="AD29">
        <f>HYPERLINK("https://klasma.github.io/Logging_1499/tillsynsmail/A 61984-2025 tillsynsbegäran mail.docx", "A 61984-2025")</f>
        <v/>
      </c>
    </row>
    <row r="30" ht="15" customHeight="1">
      <c r="A30" t="inlineStr">
        <is>
          <t>S 1276-2026</t>
        </is>
      </c>
      <c r="B30" t="inlineStr">
        <is>
          <t>samrådsanmälan</t>
        </is>
      </c>
      <c r="C30" t="inlineStr">
        <is>
          <t>Annan skogsbruksåtgärd</t>
        </is>
      </c>
      <c r="D30" s="1" t="n">
        <v>46147</v>
      </c>
      <c r="E30" s="1" t="n">
        <v>46305</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47426-2023</t>
        </is>
      </c>
      <c r="B31" t="inlineStr">
        <is>
          <t>avverkningsanmälan</t>
        </is>
      </c>
      <c r="C31" t="inlineStr">
        <is>
          <t>Föryngringsavverkning</t>
        </is>
      </c>
      <c r="D31" s="1" t="n">
        <v>45202</v>
      </c>
      <c r="E31" s="1" t="n">
        <v>46305</v>
      </c>
      <c r="F31" t="inlineStr">
        <is>
          <t>VÄSTRA GÖTALANDS LÄN</t>
        </is>
      </c>
      <c r="G31" t="inlineStr">
        <is>
          <t>FALKÖPING</t>
        </is>
      </c>
      <c r="I31" t="n">
        <v>0.3</v>
      </c>
      <c r="J31" t="n">
        <v>0</v>
      </c>
      <c r="K31" t="n">
        <v>1</v>
      </c>
      <c r="L31" t="n">
        <v>0</v>
      </c>
      <c r="M31" t="n">
        <v>0</v>
      </c>
      <c r="N31" t="n">
        <v>0</v>
      </c>
      <c r="O31" t="n">
        <v>0</v>
      </c>
      <c r="P31" t="n">
        <v>0</v>
      </c>
      <c r="Q31" t="n">
        <v>0</v>
      </c>
      <c r="R31" t="n">
        <v>0</v>
      </c>
      <c r="S31" t="n">
        <v>1</v>
      </c>
      <c r="T31" t="n">
        <v>1</v>
      </c>
      <c r="U31" t="n">
        <v>1</v>
      </c>
      <c r="V31" s="2" t="inlineStr">
        <is>
          <t>Blåmossa</t>
        </is>
      </c>
      <c r="W31">
        <f>HYPERLINK("https://klasma.github.io/Logging_1499/artfynd/A 47426-2023 artfynd.xlsx", "A 47426-2023")</f>
        <v/>
      </c>
      <c r="X31">
        <f>HYPERLINK("https://klasma.github.io/Logging_1499/kartor/A 47426-2023 karta.png", "A 47426-2023")</f>
        <v/>
      </c>
      <c r="Y31">
        <f>HYPERLINK("https://klasma.github.io/Logging_1499/kartor_geotiff/A 47426-2023 georefererad karta.tif", "A 47426-2023")</f>
        <v/>
      </c>
      <c r="AA31">
        <f>HYPERLINK("https://klasma.github.io/Logging_1499/klagomål/A 47426-2023 FSC-klagomål.docx", "A 47426-2023")</f>
        <v/>
      </c>
      <c r="AB31">
        <f>HYPERLINK("https://klasma.github.io/Logging_1499/klagomålsmail/A 47426-2023 FSC-klagomål mail.docx", "A 47426-2023")</f>
        <v/>
      </c>
      <c r="AC31">
        <f>HYPERLINK("https://klasma.github.io/Logging_1499/tillsyn/A 47426-2023 tillsynsbegäran.docx", "A 47426-2023")</f>
        <v/>
      </c>
      <c r="AD31">
        <f>HYPERLINK("https://klasma.github.io/Logging_1499/tillsynsmail/A 47426-2023 tillsynsbegäran mail.docx", "A 47426-2023")</f>
        <v/>
      </c>
    </row>
    <row r="32" ht="15" customHeight="1">
      <c r="A32" t="inlineStr">
        <is>
          <t>A 5807-2024</t>
        </is>
      </c>
      <c r="B32" t="inlineStr">
        <is>
          <t>avverkningsanmälan</t>
        </is>
      </c>
      <c r="C32" t="inlineStr">
        <is>
          <t>Föryngringsavverkning</t>
        </is>
      </c>
      <c r="D32" s="1" t="n">
        <v>45335</v>
      </c>
      <c r="E32" s="1" t="n">
        <v>46305</v>
      </c>
      <c r="F32" t="inlineStr">
        <is>
          <t>VÄSTRA GÖTALANDS LÄN</t>
        </is>
      </c>
      <c r="G32" t="inlineStr">
        <is>
          <t>FALKÖPING</t>
        </is>
      </c>
      <c r="I32" t="n">
        <v>3.9</v>
      </c>
      <c r="J32" t="n">
        <v>1</v>
      </c>
      <c r="K32" t="n">
        <v>0</v>
      </c>
      <c r="L32" t="n">
        <v>1</v>
      </c>
      <c r="M32" t="n">
        <v>0</v>
      </c>
      <c r="N32" t="n">
        <v>0</v>
      </c>
      <c r="O32" t="n">
        <v>0</v>
      </c>
      <c r="P32" t="n">
        <v>0</v>
      </c>
      <c r="Q32" t="n">
        <v>1</v>
      </c>
      <c r="R32" t="n">
        <v>0</v>
      </c>
      <c r="S32" t="n">
        <v>1</v>
      </c>
      <c r="T32" t="n">
        <v>1</v>
      </c>
      <c r="U32" t="n">
        <v>0</v>
      </c>
      <c r="V32" s="2" t="inlineStr">
        <is>
          <t>Duvhök</t>
        </is>
      </c>
      <c r="W32">
        <f>HYPERLINK("https://klasma.github.io/Logging_1499/artfynd/A 5807-2024 artfynd.xlsx", "A 5807-2024")</f>
        <v/>
      </c>
      <c r="X32">
        <f>HYPERLINK("https://klasma.github.io/Logging_1499/kartor/A 5807-2024 karta.png", "A 5807-2024")</f>
        <v/>
      </c>
      <c r="Y32">
        <f>HYPERLINK("https://klasma.github.io/Logging_1499/kartor_geotiff/A 5807-2024 georefererad karta.tif", "A 5807-2024")</f>
        <v/>
      </c>
      <c r="AA32">
        <f>HYPERLINK("https://klasma.github.io/Logging_1499/klagomål/A 5807-2024 FSC-klagomål.docx", "A 5807-2024")</f>
        <v/>
      </c>
      <c r="AB32">
        <f>HYPERLINK("https://klasma.github.io/Logging_1499/klagomålsmail/A 5807-2024 FSC-klagomål mail.docx", "A 5807-2024")</f>
        <v/>
      </c>
      <c r="AC32">
        <f>HYPERLINK("https://klasma.github.io/Logging_1499/tillsyn/A 5807-2024 tillsynsbegäran.docx", "A 5807-2024")</f>
        <v/>
      </c>
      <c r="AD32">
        <f>HYPERLINK("https://klasma.github.io/Logging_1499/tillsynsmail/A 5807-2024 tillsynsbegäran mail.docx", "A 5807-2024")</f>
        <v/>
      </c>
      <c r="AE32">
        <f>HYPERLINK("https://klasma.github.io/Logging_1499/fåglar/A 5807-2024 prioriterade fågelarter.docx", "A 5807-2024")</f>
        <v/>
      </c>
    </row>
    <row r="33" ht="15" customHeight="1">
      <c r="A33" t="inlineStr">
        <is>
          <t>A 58702-2024</t>
        </is>
      </c>
      <c r="B33" t="inlineStr">
        <is>
          <t>avverkningsanmälan</t>
        </is>
      </c>
      <c r="C33" t="inlineStr">
        <is>
          <t>Föryngringsavverkning</t>
        </is>
      </c>
      <c r="D33" s="1" t="n">
        <v>45635</v>
      </c>
      <c r="E33" s="1" t="n">
        <v>46305</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8971-2024</t>
        </is>
      </c>
      <c r="B34" t="inlineStr">
        <is>
          <t>avverkningsanmälan</t>
        </is>
      </c>
      <c r="C34" t="inlineStr">
        <is>
          <t>Föryngringsavverkning</t>
        </is>
      </c>
      <c r="D34" s="1" t="n">
        <v>45357</v>
      </c>
      <c r="E34" s="1" t="n">
        <v>46305</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24407-2023</t>
        </is>
      </c>
      <c r="B35" t="inlineStr">
        <is>
          <t>avverkningsanmälan</t>
        </is>
      </c>
      <c r="C35" t="inlineStr">
        <is>
          <t>Avverkning för annat ändamål</t>
        </is>
      </c>
      <c r="D35" s="1" t="n">
        <v>45082</v>
      </c>
      <c r="E35" s="1" t="n">
        <v>46305</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61037-2024</t>
        </is>
      </c>
      <c r="B36" t="inlineStr">
        <is>
          <t>avverkningsanmälan</t>
        </is>
      </c>
      <c r="C36" t="inlineStr">
        <is>
          <t>Avverkning för annat ändamål</t>
        </is>
      </c>
      <c r="D36" s="1" t="n">
        <v>45645</v>
      </c>
      <c r="E36" s="1" t="n">
        <v>46305</v>
      </c>
      <c r="F36" t="inlineStr">
        <is>
          <t>VÄSTRA GÖTALANDS LÄN</t>
        </is>
      </c>
      <c r="G36" t="inlineStr">
        <is>
          <t>FALKÖPING</t>
        </is>
      </c>
      <c r="I36" t="n">
        <v>1.6</v>
      </c>
      <c r="J36" t="n">
        <v>1</v>
      </c>
      <c r="K36" t="n">
        <v>0</v>
      </c>
      <c r="L36" t="n">
        <v>0</v>
      </c>
      <c r="M36" t="n">
        <v>0</v>
      </c>
      <c r="N36" t="n">
        <v>1</v>
      </c>
      <c r="O36" t="n">
        <v>0</v>
      </c>
      <c r="P36" t="n">
        <v>0</v>
      </c>
      <c r="Q36" t="n">
        <v>1</v>
      </c>
      <c r="R36" t="n">
        <v>1</v>
      </c>
      <c r="S36" t="n">
        <v>1</v>
      </c>
      <c r="T36" t="n">
        <v>1</v>
      </c>
      <c r="U36" t="n">
        <v>0</v>
      </c>
      <c r="V36" s="2" t="inlineStr">
        <is>
          <t>Läkeögontröst</t>
        </is>
      </c>
      <c r="W36">
        <f>HYPERLINK("https://klasma.github.io/Logging_1499/artfynd/A 61037-2024 artfynd.xlsx", "A 61037-2024")</f>
        <v/>
      </c>
      <c r="X36">
        <f>HYPERLINK("https://klasma.github.io/Logging_1499/kartor/A 61037-2024 karta.png", "A 61037-2024")</f>
        <v/>
      </c>
      <c r="Y36">
        <f>HYPERLINK("https://klasma.github.io/Logging_1499/kartor_geotiff/A 61037-2024 georefererad karta.tif", "A 61037-2024")</f>
        <v/>
      </c>
      <c r="AA36">
        <f>HYPERLINK("https://klasma.github.io/Logging_1499/klagomål/A 61037-2024 FSC-klagomål.docx", "A 61037-2024")</f>
        <v/>
      </c>
      <c r="AB36">
        <f>HYPERLINK("https://klasma.github.io/Logging_1499/klagomålsmail/A 61037-2024 FSC-klagomål mail.docx", "A 61037-2024")</f>
        <v/>
      </c>
      <c r="AC36">
        <f>HYPERLINK("https://klasma.github.io/Logging_1499/tillsyn/A 61037-2024 tillsynsbegäran.docx", "A 61037-2024")</f>
        <v/>
      </c>
      <c r="AD36">
        <f>HYPERLINK("https://klasma.github.io/Logging_1499/tillsynsmail/A 61037-2024 tillsynsbegäran mail.docx", "A 61037-2024")</f>
        <v/>
      </c>
    </row>
    <row r="37" ht="15" customHeight="1">
      <c r="A37" t="inlineStr">
        <is>
          <t>A 45428-2024</t>
        </is>
      </c>
      <c r="B37" t="inlineStr">
        <is>
          <t>avverkningsanmälan</t>
        </is>
      </c>
      <c r="C37" t="inlineStr">
        <is>
          <t>Föryngringsavverkning</t>
        </is>
      </c>
      <c r="D37" s="1" t="n">
        <v>45576</v>
      </c>
      <c r="E37" s="1" t="n">
        <v>46305</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62143-2025</t>
        </is>
      </c>
      <c r="B38" t="inlineStr">
        <is>
          <t>avverkningsanmälan</t>
        </is>
      </c>
      <c r="C38" t="inlineStr">
        <is>
          <t>Föryngringsavverkning</t>
        </is>
      </c>
      <c r="D38" s="1" t="n">
        <v>46006</v>
      </c>
      <c r="E38" s="1" t="n">
        <v>46305</v>
      </c>
      <c r="F38" t="inlineStr">
        <is>
          <t>VÄSTRA GÖTALANDS LÄN</t>
        </is>
      </c>
      <c r="G38" t="inlineStr">
        <is>
          <t>FALKÖPING</t>
        </is>
      </c>
      <c r="I38" t="n">
        <v>2.4</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62143-2025 artfynd.xlsx", "A 62143-2025")</f>
        <v/>
      </c>
      <c r="X38">
        <f>HYPERLINK("https://klasma.github.io/Logging_1499/kartor/A 62143-2025 karta.png", "A 62143-2025")</f>
        <v/>
      </c>
      <c r="Y38">
        <f>HYPERLINK("https://klasma.github.io/Logging_1499/kartor_geotiff/A 62143-2025 georefererad karta.tif", "A 62143-2025")</f>
        <v/>
      </c>
      <c r="AA38">
        <f>HYPERLINK("https://klasma.github.io/Logging_1499/klagomål/A 62143-2025 FSC-klagomål.docx", "A 62143-2025")</f>
        <v/>
      </c>
      <c r="AB38">
        <f>HYPERLINK("https://klasma.github.io/Logging_1499/klagomålsmail/A 62143-2025 FSC-klagomål mail.docx", "A 62143-2025")</f>
        <v/>
      </c>
      <c r="AC38">
        <f>HYPERLINK("https://klasma.github.io/Logging_1499/tillsyn/A 62143-2025 tillsynsbegäran.docx", "A 62143-2025")</f>
        <v/>
      </c>
      <c r="AD38">
        <f>HYPERLINK("https://klasma.github.io/Logging_1499/tillsynsmail/A 62143-2025 tillsynsbegäran mail.docx", "A 62143-2025")</f>
        <v/>
      </c>
    </row>
    <row r="39" ht="15" customHeight="1">
      <c r="A39" t="inlineStr">
        <is>
          <t>A 61986-2025</t>
        </is>
      </c>
      <c r="B39" t="inlineStr">
        <is>
          <t>avverkningsanmälan</t>
        </is>
      </c>
      <c r="C39" t="inlineStr">
        <is>
          <t>Föryngringsavverkning</t>
        </is>
      </c>
      <c r="D39" s="1" t="n">
        <v>46003</v>
      </c>
      <c r="E39" s="1" t="n">
        <v>46305</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6389-2026</t>
        </is>
      </c>
      <c r="B40" t="inlineStr">
        <is>
          <t>avverkningsanmälan</t>
        </is>
      </c>
      <c r="C40" t="inlineStr">
        <is>
          <t>Föryngringsavverkning</t>
        </is>
      </c>
      <c r="D40" s="1" t="n">
        <v>46055</v>
      </c>
      <c r="E40" s="1" t="n">
        <v>46305</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HYPERLINK("https://klasma.github.io/Logging_1499/artfynd/A 6389-2026 artfynd.xlsx", "A 6389-2026")</f>
        <v/>
      </c>
      <c r="X40">
        <f>HYPERLINK("https://klasma.github.io/Logging_1499/kartor/A 6389-2026 karta.png", "A 6389-2026")</f>
        <v/>
      </c>
      <c r="Y40">
        <f>HYPERLINK("https://klasma.github.io/Logging_1499/kartor_geotiff/A 6389-2026 georefererad karta.tif", "A 6389-2026")</f>
        <v/>
      </c>
      <c r="AA40">
        <f>HYPERLINK("https://klasma.github.io/Logging_1499/klagomål/A 6389-2026 FSC-klagomål.docx", "A 6389-2026")</f>
        <v/>
      </c>
      <c r="AB40">
        <f>HYPERLINK("https://klasma.github.io/Logging_1499/klagomålsmail/A 6389-2026 FSC-klagomål mail.docx", "A 6389-2026")</f>
        <v/>
      </c>
      <c r="AC40">
        <f>HYPERLINK("https://klasma.github.io/Logging_1499/tillsyn/A 6389-2026 tillsynsbegäran.docx", "A 6389-2026")</f>
        <v/>
      </c>
      <c r="AD40">
        <f>HYPERLINK("https://klasma.github.io/Logging_1499/tillsynsmail/A 6389-2026 tillsynsbegäran mail.docx", "A 6389-2026")</f>
        <v/>
      </c>
    </row>
    <row r="41" ht="15" customHeight="1">
      <c r="A41" t="inlineStr">
        <is>
          <t>A 10599-2026</t>
        </is>
      </c>
      <c r="B41" t="inlineStr">
        <is>
          <t>avverkningsanmälan</t>
        </is>
      </c>
      <c r="C41" t="inlineStr">
        <is>
          <t>Föryngringsavverkning</t>
        </is>
      </c>
      <c r="D41" s="1" t="n">
        <v>46077</v>
      </c>
      <c r="E41" s="1" t="n">
        <v>46305</v>
      </c>
      <c r="F41" t="inlineStr">
        <is>
          <t>VÄSTRA GÖTALANDS LÄN</t>
        </is>
      </c>
      <c r="G41" t="inlineStr">
        <is>
          <t>FALKÖPING</t>
        </is>
      </c>
      <c r="I41" t="n">
        <v>4.1</v>
      </c>
      <c r="J41" t="n">
        <v>0</v>
      </c>
      <c r="K41" t="n">
        <v>0</v>
      </c>
      <c r="L41" t="n">
        <v>1</v>
      </c>
      <c r="M41" t="n">
        <v>0</v>
      </c>
      <c r="N41" t="n">
        <v>0</v>
      </c>
      <c r="O41" t="n">
        <v>0</v>
      </c>
      <c r="P41" t="n">
        <v>0</v>
      </c>
      <c r="Q41" t="n">
        <v>1</v>
      </c>
      <c r="R41" t="n">
        <v>0</v>
      </c>
      <c r="S41" t="n">
        <v>1</v>
      </c>
      <c r="T41" t="n">
        <v>2</v>
      </c>
      <c r="U41" t="n">
        <v>0</v>
      </c>
      <c r="V41" s="2" t="inlineStr">
        <is>
          <t>Gullpudra</t>
        </is>
      </c>
      <c r="W41">
        <f>HYPERLINK("https://klasma.github.io/Logging_1499/artfynd/A 10599-2026 artfynd.xlsx", "A 10599-2026")</f>
        <v/>
      </c>
      <c r="X41">
        <f>HYPERLINK("https://klasma.github.io/Logging_1499/kartor/A 10599-2026 karta.png", "A 10599-2026")</f>
        <v/>
      </c>
      <c r="Y41">
        <f>HYPERLINK("https://klasma.github.io/Logging_1499/kartor_geotiff/A 10599-2026 georefererad karta.tif", "A 10599-2026")</f>
        <v/>
      </c>
      <c r="AA41">
        <f>HYPERLINK("https://klasma.github.io/Logging_1499/klagomål/A 10599-2026 FSC-klagomål.docx", "A 10599-2026")</f>
        <v/>
      </c>
      <c r="AB41">
        <f>HYPERLINK("https://klasma.github.io/Logging_1499/klagomålsmail/A 10599-2026 FSC-klagomål mail.docx", "A 10599-2026")</f>
        <v/>
      </c>
      <c r="AC41">
        <f>HYPERLINK("https://klasma.github.io/Logging_1499/tillsyn/A 10599-2026 tillsynsbegäran.docx", "A 10599-2026")</f>
        <v/>
      </c>
      <c r="AD41">
        <f>HYPERLINK("https://klasma.github.io/Logging_1499/tillsynsmail/A 10599-2026 tillsynsbegäran mail.docx", "A 10599-2026")</f>
        <v/>
      </c>
    </row>
    <row r="42" ht="15" customHeight="1">
      <c r="A42" t="inlineStr">
        <is>
          <t>S 626-2024</t>
        </is>
      </c>
      <c r="B42" t="inlineStr">
        <is>
          <t>samrådsanmälan</t>
        </is>
      </c>
      <c r="C42" t="inlineStr">
        <is>
          <t>Askåterföring</t>
        </is>
      </c>
      <c r="D42" s="1" t="n">
        <v>45355</v>
      </c>
      <c r="E42" s="1" t="n">
        <v>46305</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46305</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46305</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46305</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46305</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46305</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46305</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46305</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46305</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46305</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46305</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22023-2022</t>
        </is>
      </c>
      <c r="B53" t="inlineStr">
        <is>
          <t>avverkningsanmälan</t>
        </is>
      </c>
      <c r="C53" t="inlineStr">
        <is>
          <t>Avverkning för annat ändamål</t>
        </is>
      </c>
      <c r="D53" s="1" t="n">
        <v>44711</v>
      </c>
      <c r="E53" s="1" t="n">
        <v>46305</v>
      </c>
      <c r="F53" t="inlineStr">
        <is>
          <t>VÄSTRA GÖTALANDS LÄN</t>
        </is>
      </c>
      <c r="G53" t="inlineStr">
        <is>
          <t>FALKÖPING</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68875-2021</t>
        </is>
      </c>
      <c r="B54" t="inlineStr">
        <is>
          <t>avverkningsanmälan</t>
        </is>
      </c>
      <c r="C54" t="inlineStr">
        <is>
          <t>Föryngringsavverkning</t>
        </is>
      </c>
      <c r="D54" s="1" t="n">
        <v>44530</v>
      </c>
      <c r="E54" s="1" t="n">
        <v>46305</v>
      </c>
      <c r="F54" t="inlineStr">
        <is>
          <t>VÄSTRA GÖTALANDS LÄN</t>
        </is>
      </c>
      <c r="G54" t="inlineStr">
        <is>
          <t>FALKÖPING</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62372-2021</t>
        </is>
      </c>
      <c r="B55" t="inlineStr">
        <is>
          <t>avverkningsanmälan</t>
        </is>
      </c>
      <c r="C55" t="inlineStr">
        <is>
          <t>Föryngringsavverkning</t>
        </is>
      </c>
      <c r="D55" s="1" t="n">
        <v>44503</v>
      </c>
      <c r="E55" s="1" t="n">
        <v>46305</v>
      </c>
      <c r="F55" t="inlineStr">
        <is>
          <t>VÄSTRA GÖTALANDS LÄN</t>
        </is>
      </c>
      <c r="G55" t="inlineStr">
        <is>
          <t>FALKÖPING</t>
        </is>
      </c>
      <c r="H55" t="inlineStr">
        <is>
          <t>Naturvårdsverket</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46305</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21730-2022</t>
        </is>
      </c>
      <c r="B57" t="inlineStr">
        <is>
          <t>avverkningsanmälan</t>
        </is>
      </c>
      <c r="C57" t="inlineStr">
        <is>
          <t>Föryngringsavverkning</t>
        </is>
      </c>
      <c r="D57" s="1" t="n">
        <v>44707</v>
      </c>
      <c r="E57" s="1" t="n">
        <v>46305</v>
      </c>
      <c r="F57" t="inlineStr">
        <is>
          <t>VÄSTRA GÖTALANDS LÄN</t>
        </is>
      </c>
      <c r="G57" t="inlineStr">
        <is>
          <t>FALKÖPING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72297-2021</t>
        </is>
      </c>
      <c r="B58" t="inlineStr">
        <is>
          <t>avverkningsanmälan</t>
        </is>
      </c>
      <c r="C58" t="inlineStr">
        <is>
          <t>Föryngringsavverkning</t>
        </is>
      </c>
      <c r="D58" s="1" t="n">
        <v>44545</v>
      </c>
      <c r="E58" s="1" t="n">
        <v>46305</v>
      </c>
      <c r="F58" t="inlineStr">
        <is>
          <t>VÄSTRA GÖTALANDS LÄN</t>
        </is>
      </c>
      <c r="G58" t="inlineStr">
        <is>
          <t>FALKÖPING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12103-2022</t>
        </is>
      </c>
      <c r="B59" t="inlineStr">
        <is>
          <t>avverkningsanmälan</t>
        </is>
      </c>
      <c r="C59" t="inlineStr">
        <is>
          <t>Avverkning för annat ändamål</t>
        </is>
      </c>
      <c r="D59" s="1" t="n">
        <v>44636</v>
      </c>
      <c r="E59" s="1" t="n">
        <v>46305</v>
      </c>
      <c r="F59" t="inlineStr">
        <is>
          <t>VÄSTRA GÖTALANDS LÄN</t>
        </is>
      </c>
      <c r="G59" t="inlineStr">
        <is>
          <t>FALKÖPING</t>
        </is>
      </c>
      <c r="I59" t="n">
        <v>8.6</v>
      </c>
      <c r="J59" t="n">
        <v>0</v>
      </c>
      <c r="K59" t="n">
        <v>0</v>
      </c>
      <c r="L59" t="n">
        <v>0</v>
      </c>
      <c r="M59" t="n">
        <v>0</v>
      </c>
      <c r="N59" t="n">
        <v>0</v>
      </c>
      <c r="O59" t="n">
        <v>0</v>
      </c>
      <c r="P59" t="n">
        <v>0</v>
      </c>
      <c r="Q59" t="n">
        <v>0</v>
      </c>
      <c r="R59" t="n">
        <v>0</v>
      </c>
      <c r="S59" t="n">
        <v>0</v>
      </c>
      <c r="T59" t="n">
        <v>0</v>
      </c>
      <c r="U59" t="n">
        <v>0</v>
      </c>
      <c r="V59" s="2" t="inlineStr"/>
    </row>
    <row r="60" ht="15" customHeight="1">
      <c r="A60" t="inlineStr">
        <is>
          <t>A 12124-2022</t>
        </is>
      </c>
      <c r="B60" t="inlineStr">
        <is>
          <t>avverkningsanmälan</t>
        </is>
      </c>
      <c r="C60" t="inlineStr">
        <is>
          <t>Avverkning för annat ändamål</t>
        </is>
      </c>
      <c r="D60" s="1" t="n">
        <v>44636</v>
      </c>
      <c r="E60" s="1" t="n">
        <v>46305</v>
      </c>
      <c r="F60" t="inlineStr">
        <is>
          <t>VÄSTRA GÖTALANDS LÄN</t>
        </is>
      </c>
      <c r="G60" t="inlineStr">
        <is>
          <t>FALKÖPING</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5265-2022</t>
        </is>
      </c>
      <c r="B61" t="inlineStr">
        <is>
          <t>avverkningsanmälan</t>
        </is>
      </c>
      <c r="C61" t="inlineStr">
        <is>
          <t>Föryngringsavverkning</t>
        </is>
      </c>
      <c r="D61" s="1" t="n">
        <v>44594</v>
      </c>
      <c r="E61" s="1" t="n">
        <v>46305</v>
      </c>
      <c r="F61" t="inlineStr">
        <is>
          <t>VÄSTRA GÖTALANDS LÄN</t>
        </is>
      </c>
      <c r="G61" t="inlineStr">
        <is>
          <t>FALKÖPING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60914-2021</t>
        </is>
      </c>
      <c r="B62" t="inlineStr">
        <is>
          <t>avverkningsanmälan</t>
        </is>
      </c>
      <c r="C62" t="inlineStr">
        <is>
          <t>Föryngringsavverkning</t>
        </is>
      </c>
      <c r="D62" s="1" t="n">
        <v>44497</v>
      </c>
      <c r="E62" s="1" t="n">
        <v>46305</v>
      </c>
      <c r="F62" t="inlineStr">
        <is>
          <t>VÄSTRA GÖTALANDS LÄN</t>
        </is>
      </c>
      <c r="G62" t="inlineStr">
        <is>
          <t>FALKÖPING</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68656-2021</t>
        </is>
      </c>
      <c r="B63" t="inlineStr">
        <is>
          <t>avverkningsanmälan</t>
        </is>
      </c>
      <c r="C63" t="inlineStr">
        <is>
          <t>Avverkning för annat ändamål</t>
        </is>
      </c>
      <c r="D63" s="1" t="n">
        <v>44529</v>
      </c>
      <c r="E63" s="1" t="n">
        <v>46305</v>
      </c>
      <c r="F63" t="inlineStr">
        <is>
          <t>VÄSTRA GÖTALANDS LÄN</t>
        </is>
      </c>
      <c r="G63" t="inlineStr">
        <is>
          <t>FALKÖPING</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68658-2021</t>
        </is>
      </c>
      <c r="B64" t="inlineStr">
        <is>
          <t>avverkningsanmälan</t>
        </is>
      </c>
      <c r="C64" t="inlineStr">
        <is>
          <t>Avverkning för annat ändamål</t>
        </is>
      </c>
      <c r="D64" s="1" t="n">
        <v>44529</v>
      </c>
      <c r="E64" s="1" t="n">
        <v>46305</v>
      </c>
      <c r="F64" t="inlineStr">
        <is>
          <t>VÄSTRA GÖTALANDS LÄN</t>
        </is>
      </c>
      <c r="G64" t="inlineStr">
        <is>
          <t>FALKÖPING</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2294-2022</t>
        </is>
      </c>
      <c r="B65" t="inlineStr">
        <is>
          <t>avverkningsanmälan</t>
        </is>
      </c>
      <c r="C65" t="inlineStr">
        <is>
          <t>Föryngringsavverkning</t>
        </is>
      </c>
      <c r="D65" s="1" t="n">
        <v>44578</v>
      </c>
      <c r="E65" s="1" t="n">
        <v>46305</v>
      </c>
      <c r="F65" t="inlineStr">
        <is>
          <t>VÄSTRA GÖTALANDS LÄN</t>
        </is>
      </c>
      <c r="G65" t="inlineStr">
        <is>
          <t>FALKÖPING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24749-2022</t>
        </is>
      </c>
      <c r="B66" t="inlineStr">
        <is>
          <t>avverkningsanmälan</t>
        </is>
      </c>
      <c r="C66" t="inlineStr">
        <is>
          <t>Föryngringsavverkning</t>
        </is>
      </c>
      <c r="D66" s="1" t="n">
        <v>44728</v>
      </c>
      <c r="E66" s="1" t="n">
        <v>46305</v>
      </c>
      <c r="F66" t="inlineStr">
        <is>
          <t>VÄSTRA GÖTALANDS LÄN</t>
        </is>
      </c>
      <c r="G66" t="inlineStr">
        <is>
          <t>FALKÖPING</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25043-2022</t>
        </is>
      </c>
      <c r="B67" t="inlineStr">
        <is>
          <t>avverkningsanmälan</t>
        </is>
      </c>
      <c r="C67" t="inlineStr">
        <is>
          <t>Avverkning för annat ändamål</t>
        </is>
      </c>
      <c r="D67" s="1" t="n">
        <v>44729</v>
      </c>
      <c r="E67" s="1" t="n">
        <v>46305</v>
      </c>
      <c r="F67" t="inlineStr">
        <is>
          <t>VÄSTRA GÖTALANDS LÄN</t>
        </is>
      </c>
      <c r="G67" t="inlineStr">
        <is>
          <t>FALKÖPING</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46305</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46305</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47562-2023</t>
        </is>
      </c>
      <c r="B70" t="inlineStr">
        <is>
          <t>avverkningsanmälan</t>
        </is>
      </c>
      <c r="C70" t="inlineStr">
        <is>
          <t>Föryngringsavverkning</t>
        </is>
      </c>
      <c r="D70" s="1" t="n">
        <v>45203</v>
      </c>
      <c r="E70" s="1" t="n">
        <v>46305</v>
      </c>
      <c r="F70" t="inlineStr">
        <is>
          <t>VÄSTRA GÖTALANDS LÄN</t>
        </is>
      </c>
      <c r="G70" t="inlineStr">
        <is>
          <t>FALKÖPING</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2657-2022</t>
        </is>
      </c>
      <c r="B71" t="inlineStr">
        <is>
          <t>avverkningsanmälan</t>
        </is>
      </c>
      <c r="C71" t="inlineStr">
        <is>
          <t>Föryngringsavverkning</t>
        </is>
      </c>
      <c r="D71" s="1" t="n">
        <v>44580</v>
      </c>
      <c r="E71" s="1" t="n">
        <v>46305</v>
      </c>
      <c r="F71" t="inlineStr">
        <is>
          <t>VÄSTRA GÖTALANDS LÄN</t>
        </is>
      </c>
      <c r="G71" t="inlineStr">
        <is>
          <t>FALKÖPING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28473-2022</t>
        </is>
      </c>
      <c r="B72" t="inlineStr">
        <is>
          <t>avverkningsanmälan</t>
        </is>
      </c>
      <c r="C72" t="inlineStr">
        <is>
          <t>Föryngringsavverkning</t>
        </is>
      </c>
      <c r="D72" s="1" t="n">
        <v>44747</v>
      </c>
      <c r="E72" s="1" t="n">
        <v>46305</v>
      </c>
      <c r="F72" t="inlineStr">
        <is>
          <t>VÄSTRA GÖTALANDS LÄN</t>
        </is>
      </c>
      <c r="G72" t="inlineStr">
        <is>
          <t>FALKÖPING</t>
        </is>
      </c>
      <c r="I72" t="n">
        <v>6.5</v>
      </c>
      <c r="J72" t="n">
        <v>0</v>
      </c>
      <c r="K72" t="n">
        <v>0</v>
      </c>
      <c r="L72" t="n">
        <v>0</v>
      </c>
      <c r="M72" t="n">
        <v>0</v>
      </c>
      <c r="N72" t="n">
        <v>0</v>
      </c>
      <c r="O72" t="n">
        <v>0</v>
      </c>
      <c r="P72" t="n">
        <v>0</v>
      </c>
      <c r="Q72" t="n">
        <v>0</v>
      </c>
      <c r="R72" t="n">
        <v>0</v>
      </c>
      <c r="S72" t="n">
        <v>0</v>
      </c>
      <c r="T72" t="n">
        <v>0</v>
      </c>
      <c r="U72" t="n">
        <v>0</v>
      </c>
      <c r="V72" s="2" t="inlineStr"/>
    </row>
    <row r="73" ht="15" customHeight="1">
      <c r="A73" t="inlineStr">
        <is>
          <t>A 26319-2023</t>
        </is>
      </c>
      <c r="B73" t="inlineStr">
        <is>
          <t>avverkningsanmälan</t>
        </is>
      </c>
      <c r="C73" t="inlineStr">
        <is>
          <t>Föryngringsavverkning</t>
        </is>
      </c>
      <c r="D73" s="1" t="n">
        <v>45091</v>
      </c>
      <c r="E73" s="1" t="n">
        <v>46305</v>
      </c>
      <c r="F73" t="inlineStr">
        <is>
          <t>VÄSTRA GÖTALANDS LÄN</t>
        </is>
      </c>
      <c r="G73" t="inlineStr">
        <is>
          <t>FALKÖPING</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6945-2024</t>
        </is>
      </c>
      <c r="B74" t="inlineStr">
        <is>
          <t>avverkningsanmälan</t>
        </is>
      </c>
      <c r="C74" t="inlineStr">
        <is>
          <t>Avverkning för annat ändamål</t>
        </is>
      </c>
      <c r="D74" s="1" t="n">
        <v>45343</v>
      </c>
      <c r="E74" s="1" t="n">
        <v>46305</v>
      </c>
      <c r="F74" t="inlineStr">
        <is>
          <t>VÄSTRA GÖTALANDS LÄN</t>
        </is>
      </c>
      <c r="G74" t="inlineStr">
        <is>
          <t>FALKÖPING</t>
        </is>
      </c>
      <c r="I74" t="n">
        <v>9.300000000000001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40735-2022</t>
        </is>
      </c>
      <c r="B75" t="inlineStr">
        <is>
          <t>avverkningsanmälan</t>
        </is>
      </c>
      <c r="C75" t="inlineStr">
        <is>
          <t>Föryngringsavverkning</t>
        </is>
      </c>
      <c r="D75" s="1" t="n">
        <v>44824</v>
      </c>
      <c r="E75" s="1" t="n">
        <v>46305</v>
      </c>
      <c r="F75" t="inlineStr">
        <is>
          <t>VÄSTRA GÖTALANDS LÄN</t>
        </is>
      </c>
      <c r="G75" t="inlineStr">
        <is>
          <t>FALKÖPING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7592-2025</t>
        </is>
      </c>
      <c r="B76" t="inlineStr">
        <is>
          <t>avverkningsanmälan</t>
        </is>
      </c>
      <c r="C76" t="inlineStr">
        <is>
          <t>Föryngringsavverkning</t>
        </is>
      </c>
      <c r="D76" s="1" t="n">
        <v>45705</v>
      </c>
      <c r="E76" s="1" t="n">
        <v>46305</v>
      </c>
      <c r="F76" t="inlineStr">
        <is>
          <t>VÄSTRA GÖTALANDS LÄN</t>
        </is>
      </c>
      <c r="G76" t="inlineStr">
        <is>
          <t>FALKÖPING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29719-2024</t>
        </is>
      </c>
      <c r="B77" t="inlineStr">
        <is>
          <t>avverkningsanmälan</t>
        </is>
      </c>
      <c r="C77" t="inlineStr">
        <is>
          <t>Föryngringsavverkning</t>
        </is>
      </c>
      <c r="D77" s="1" t="n">
        <v>45485</v>
      </c>
      <c r="E77" s="1" t="n">
        <v>46305</v>
      </c>
      <c r="F77" t="inlineStr">
        <is>
          <t>VÄSTRA GÖTALANDS LÄN</t>
        </is>
      </c>
      <c r="G77" t="inlineStr">
        <is>
          <t>FALKÖPING</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28310-2022</t>
        </is>
      </c>
      <c r="B78" t="inlineStr">
        <is>
          <t>avverkningsanmälan</t>
        </is>
      </c>
      <c r="C78" t="inlineStr">
        <is>
          <t>Föryngringsavverkning</t>
        </is>
      </c>
      <c r="D78" s="1" t="n">
        <v>44747</v>
      </c>
      <c r="E78" s="1" t="n">
        <v>46305</v>
      </c>
      <c r="F78" t="inlineStr">
        <is>
          <t>VÄSTRA GÖTALANDS LÄN</t>
        </is>
      </c>
      <c r="G78" t="inlineStr">
        <is>
          <t>FALKÖPING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62179-2022</t>
        </is>
      </c>
      <c r="B79" t="inlineStr">
        <is>
          <t>avverkningsanmälan</t>
        </is>
      </c>
      <c r="C79" t="inlineStr">
        <is>
          <t>Föryngringsavverkning</t>
        </is>
      </c>
      <c r="D79" s="1" t="n">
        <v>44922</v>
      </c>
      <c r="E79" s="1" t="n">
        <v>46305</v>
      </c>
      <c r="F79" t="inlineStr">
        <is>
          <t>VÄSTRA GÖTALANDS LÄN</t>
        </is>
      </c>
      <c r="G79" t="inlineStr">
        <is>
          <t>FALKÖPING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16347-2023</t>
        </is>
      </c>
      <c r="B80" t="inlineStr">
        <is>
          <t>avverkningsanmälan</t>
        </is>
      </c>
      <c r="C80" t="inlineStr">
        <is>
          <t>Föryngringsavverkning</t>
        </is>
      </c>
      <c r="D80" s="1" t="n">
        <v>45028</v>
      </c>
      <c r="E80" s="1" t="n">
        <v>46305</v>
      </c>
      <c r="F80" t="inlineStr">
        <is>
          <t>VÄSTRA GÖTALANDS LÄN</t>
        </is>
      </c>
      <c r="G80" t="inlineStr">
        <is>
          <t>FALKÖPING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25071-2024</t>
        </is>
      </c>
      <c r="B81" t="inlineStr">
        <is>
          <t>avverkningsanmälan</t>
        </is>
      </c>
      <c r="C81" t="inlineStr">
        <is>
          <t>Föryngringsavverkning</t>
        </is>
      </c>
      <c r="D81" s="1" t="n">
        <v>45462</v>
      </c>
      <c r="E81" s="1" t="n">
        <v>46305</v>
      </c>
      <c r="F81" t="inlineStr">
        <is>
          <t>VÄSTRA GÖTALANDS LÄN</t>
        </is>
      </c>
      <c r="G81" t="inlineStr">
        <is>
          <t>FALKÖPING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25075-2024</t>
        </is>
      </c>
      <c r="B82" t="inlineStr">
        <is>
          <t>avverkningsanmälan</t>
        </is>
      </c>
      <c r="C82" t="inlineStr">
        <is>
          <t>Föryngringsavverkning</t>
        </is>
      </c>
      <c r="D82" s="1" t="n">
        <v>45462</v>
      </c>
      <c r="E82" s="1" t="n">
        <v>46305</v>
      </c>
      <c r="F82" t="inlineStr">
        <is>
          <t>VÄSTRA GÖTALANDS LÄN</t>
        </is>
      </c>
      <c r="G82" t="inlineStr">
        <is>
          <t>FALKÖPING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9958-2024</t>
        </is>
      </c>
      <c r="B83" t="inlineStr">
        <is>
          <t>avverkningsanmälan</t>
        </is>
      </c>
      <c r="C83" t="inlineStr">
        <is>
          <t>Föryngringsavverkning</t>
        </is>
      </c>
      <c r="D83" s="1" t="n">
        <v>45363</v>
      </c>
      <c r="E83" s="1" t="n">
        <v>46305</v>
      </c>
      <c r="F83" t="inlineStr">
        <is>
          <t>VÄSTRA GÖTALANDS LÄN</t>
        </is>
      </c>
      <c r="G83" t="inlineStr">
        <is>
          <t>FALKÖPING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5228-2024</t>
        </is>
      </c>
      <c r="B84" t="inlineStr">
        <is>
          <t>avverkningsanmälan</t>
        </is>
      </c>
      <c r="C84" t="inlineStr">
        <is>
          <t>Föryngringsavverkning</t>
        </is>
      </c>
      <c r="D84" s="1" t="n">
        <v>45330</v>
      </c>
      <c r="E84" s="1" t="n">
        <v>46305</v>
      </c>
      <c r="F84" t="inlineStr">
        <is>
          <t>VÄSTRA GÖTALANDS LÄN</t>
        </is>
      </c>
      <c r="G84" t="inlineStr">
        <is>
          <t>FALKÖPING</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247-2023</t>
        </is>
      </c>
      <c r="B85" t="inlineStr">
        <is>
          <t>avverkningsanmälan</t>
        </is>
      </c>
      <c r="C85" t="inlineStr">
        <is>
          <t>Föryngringsavverkning</t>
        </is>
      </c>
      <c r="D85" s="1" t="n">
        <v>44928</v>
      </c>
      <c r="E85" s="1" t="n">
        <v>46305</v>
      </c>
      <c r="F85" t="inlineStr">
        <is>
          <t>VÄSTRA GÖTALANDS LÄN</t>
        </is>
      </c>
      <c r="G85" t="inlineStr">
        <is>
          <t>FALKÖPING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248-2023</t>
        </is>
      </c>
      <c r="B86" t="inlineStr">
        <is>
          <t>avverkningsanmälan</t>
        </is>
      </c>
      <c r="C86" t="inlineStr">
        <is>
          <t>Föryngringsavverkning</t>
        </is>
      </c>
      <c r="D86" s="1" t="n">
        <v>44928</v>
      </c>
      <c r="E86" s="1" t="n">
        <v>46305</v>
      </c>
      <c r="F86" t="inlineStr">
        <is>
          <t>VÄSTRA GÖTALANDS LÄN</t>
        </is>
      </c>
      <c r="G86" t="inlineStr">
        <is>
          <t>FALKÖPING</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43783-2023</t>
        </is>
      </c>
      <c r="B87" t="inlineStr">
        <is>
          <t>avverkningsanmälan</t>
        </is>
      </c>
      <c r="C87" t="inlineStr">
        <is>
          <t>Föryngringsavverkning</t>
        </is>
      </c>
      <c r="D87" s="1" t="n">
        <v>45187</v>
      </c>
      <c r="E87" s="1" t="n">
        <v>46305</v>
      </c>
      <c r="F87" t="inlineStr">
        <is>
          <t>VÄSTRA GÖTALANDS LÄN</t>
        </is>
      </c>
      <c r="G87" t="inlineStr">
        <is>
          <t>FALKÖPING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52886-2023</t>
        </is>
      </c>
      <c r="B88" t="inlineStr">
        <is>
          <t>avverkningsanmälan</t>
        </is>
      </c>
      <c r="C88" t="inlineStr">
        <is>
          <t>Föryngringsavverkning</t>
        </is>
      </c>
      <c r="D88" s="1" t="n">
        <v>45226</v>
      </c>
      <c r="E88" s="1" t="n">
        <v>46305</v>
      </c>
      <c r="F88" t="inlineStr">
        <is>
          <t>VÄSTRA GÖTALANDS LÄN</t>
        </is>
      </c>
      <c r="G88" t="inlineStr">
        <is>
          <t>FALKÖPING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19474-2023</t>
        </is>
      </c>
      <c r="B89" t="inlineStr">
        <is>
          <t>avverkningsanmälan</t>
        </is>
      </c>
      <c r="C89" t="inlineStr">
        <is>
          <t>Föryngringsavverkning</t>
        </is>
      </c>
      <c r="D89" s="1" t="n">
        <v>45050</v>
      </c>
      <c r="E89" s="1" t="n">
        <v>46305</v>
      </c>
      <c r="F89" t="inlineStr">
        <is>
          <t>VÄSTRA GÖTALANDS LÄN</t>
        </is>
      </c>
      <c r="G89" t="inlineStr">
        <is>
          <t>FALKÖPING</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4396-2023</t>
        </is>
      </c>
      <c r="B90" t="inlineStr">
        <is>
          <t>avverkningsanmälan</t>
        </is>
      </c>
      <c r="C90" t="inlineStr">
        <is>
          <t>Föryngringsavverkning</t>
        </is>
      </c>
      <c r="D90" s="1" t="n">
        <v>44956</v>
      </c>
      <c r="E90" s="1" t="n">
        <v>46305</v>
      </c>
      <c r="F90" t="inlineStr">
        <is>
          <t>VÄSTRA GÖTALANDS LÄN</t>
        </is>
      </c>
      <c r="G90" t="inlineStr">
        <is>
          <t>FALKÖPING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58998-2022</t>
        </is>
      </c>
      <c r="B91" t="inlineStr">
        <is>
          <t>avverkningsanmälan</t>
        </is>
      </c>
      <c r="C91" t="inlineStr">
        <is>
          <t>Föryngringsavverkning</t>
        </is>
      </c>
      <c r="D91" s="1" t="n">
        <v>44903</v>
      </c>
      <c r="E91" s="1" t="n">
        <v>46305</v>
      </c>
      <c r="F91" t="inlineStr">
        <is>
          <t>VÄSTRA GÖTALANDS LÄN</t>
        </is>
      </c>
      <c r="G91" t="inlineStr">
        <is>
          <t>FALKÖPING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29225-2023</t>
        </is>
      </c>
      <c r="B92" t="inlineStr">
        <is>
          <t>avverkningsanmälan</t>
        </is>
      </c>
      <c r="C92" t="inlineStr">
        <is>
          <t>Föryngringsavverkning</t>
        </is>
      </c>
      <c r="D92" s="1" t="n">
        <v>45105</v>
      </c>
      <c r="E92" s="1" t="n">
        <v>46305</v>
      </c>
      <c r="F92" t="inlineStr">
        <is>
          <t>VÄSTRA GÖTALANDS LÄN</t>
        </is>
      </c>
      <c r="G92" t="inlineStr">
        <is>
          <t>FALKÖPING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51207-2023</t>
        </is>
      </c>
      <c r="B93" t="inlineStr">
        <is>
          <t>avverkningsanmälan</t>
        </is>
      </c>
      <c r="C93" t="inlineStr">
        <is>
          <t>Föryngringsavverkning</t>
        </is>
      </c>
      <c r="D93" s="1" t="n">
        <v>45219</v>
      </c>
      <c r="E93" s="1" t="n">
        <v>46305</v>
      </c>
      <c r="F93" t="inlineStr">
        <is>
          <t>VÄSTRA GÖTALANDS LÄN</t>
        </is>
      </c>
      <c r="G93" t="inlineStr">
        <is>
          <t>FALKÖPING</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29750-2023</t>
        </is>
      </c>
      <c r="B94" t="inlineStr">
        <is>
          <t>avverkningsanmälan</t>
        </is>
      </c>
      <c r="C94" t="inlineStr">
        <is>
          <t>Föryngringsavverkning</t>
        </is>
      </c>
      <c r="D94" s="1" t="n">
        <v>45107</v>
      </c>
      <c r="E94" s="1" t="n">
        <v>46305</v>
      </c>
      <c r="F94" t="inlineStr">
        <is>
          <t>VÄSTRA GÖTALANDS LÄN</t>
        </is>
      </c>
      <c r="G94" t="inlineStr">
        <is>
          <t>FALKÖPING</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50720-2023</t>
        </is>
      </c>
      <c r="B95" t="inlineStr">
        <is>
          <t>avverkningsanmälan</t>
        </is>
      </c>
      <c r="C95" t="inlineStr">
        <is>
          <t>Avverkning för annat ändamål</t>
        </is>
      </c>
      <c r="D95" s="1" t="n">
        <v>45217</v>
      </c>
      <c r="E95" s="1" t="n">
        <v>46305</v>
      </c>
      <c r="F95" t="inlineStr">
        <is>
          <t>VÄSTRA GÖTALANDS LÄN</t>
        </is>
      </c>
      <c r="G95" t="inlineStr">
        <is>
          <t>FALKÖPING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50722-2023</t>
        </is>
      </c>
      <c r="B96" t="inlineStr">
        <is>
          <t>avverkningsanmälan</t>
        </is>
      </c>
      <c r="C96" t="inlineStr">
        <is>
          <t>Föryngringsavverkning</t>
        </is>
      </c>
      <c r="D96" s="1" t="n">
        <v>45217</v>
      </c>
      <c r="E96" s="1" t="n">
        <v>46305</v>
      </c>
      <c r="F96" t="inlineStr">
        <is>
          <t>VÄSTRA GÖTALANDS LÄN</t>
        </is>
      </c>
      <c r="G96" t="inlineStr">
        <is>
          <t>FALKÖPING</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44285-2023</t>
        </is>
      </c>
      <c r="B97" t="inlineStr">
        <is>
          <t>avverkningsanmälan</t>
        </is>
      </c>
      <c r="C97" t="inlineStr">
        <is>
          <t>Föryngringsavverkning</t>
        </is>
      </c>
      <c r="D97" s="1" t="n">
        <v>45188</v>
      </c>
      <c r="E97" s="1" t="n">
        <v>46305</v>
      </c>
      <c r="F97" t="inlineStr">
        <is>
          <t>VÄSTRA GÖTALANDS LÄN</t>
        </is>
      </c>
      <c r="G97" t="inlineStr">
        <is>
          <t>FALKÖPING</t>
        </is>
      </c>
      <c r="I97" t="n">
        <v>8.1</v>
      </c>
      <c r="J97" t="n">
        <v>0</v>
      </c>
      <c r="K97" t="n">
        <v>0</v>
      </c>
      <c r="L97" t="n">
        <v>0</v>
      </c>
      <c r="M97" t="n">
        <v>0</v>
      </c>
      <c r="N97" t="n">
        <v>0</v>
      </c>
      <c r="O97" t="n">
        <v>0</v>
      </c>
      <c r="P97" t="n">
        <v>0</v>
      </c>
      <c r="Q97" t="n">
        <v>0</v>
      </c>
      <c r="R97" t="n">
        <v>0</v>
      </c>
      <c r="S97" t="n">
        <v>0</v>
      </c>
      <c r="T97" t="n">
        <v>0</v>
      </c>
      <c r="U97" t="n">
        <v>0</v>
      </c>
      <c r="V97" s="2" t="inlineStr"/>
    </row>
    <row r="98" ht="15" customHeight="1">
      <c r="A98" t="inlineStr">
        <is>
          <t>A 2639-2025</t>
        </is>
      </c>
      <c r="B98" t="inlineStr">
        <is>
          <t>avverkningsanmälan</t>
        </is>
      </c>
      <c r="C98" t="inlineStr">
        <is>
          <t>Avverkning för annat ändamål</t>
        </is>
      </c>
      <c r="D98" s="1" t="n">
        <v>45675</v>
      </c>
      <c r="E98" s="1" t="n">
        <v>46305</v>
      </c>
      <c r="F98" t="inlineStr">
        <is>
          <t>VÄSTRA GÖTALANDS LÄN</t>
        </is>
      </c>
      <c r="G98" t="inlineStr">
        <is>
          <t>FALKÖPING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40375-2023</t>
        </is>
      </c>
      <c r="B99" t="inlineStr">
        <is>
          <t>avverkningsanmälan</t>
        </is>
      </c>
      <c r="C99" t="inlineStr">
        <is>
          <t>Föryngringsavverkning</t>
        </is>
      </c>
      <c r="D99" s="1" t="n">
        <v>45169</v>
      </c>
      <c r="E99" s="1" t="n">
        <v>46305</v>
      </c>
      <c r="F99" t="inlineStr">
        <is>
          <t>VÄSTRA GÖTALANDS LÄN</t>
        </is>
      </c>
      <c r="G99" t="inlineStr">
        <is>
          <t>FALKÖPING</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30137-2023</t>
        </is>
      </c>
      <c r="B100" t="inlineStr">
        <is>
          <t>avverkningsanmälan</t>
        </is>
      </c>
      <c r="C100" t="inlineStr">
        <is>
          <t>Föryngringsavverkning</t>
        </is>
      </c>
      <c r="D100" s="1" t="n">
        <v>45110</v>
      </c>
      <c r="E100" s="1" t="n">
        <v>46305</v>
      </c>
      <c r="F100" t="inlineStr">
        <is>
          <t>VÄSTRA GÖTALANDS LÄN</t>
        </is>
      </c>
      <c r="G100" t="inlineStr">
        <is>
          <t>FALKÖPING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21961-2024</t>
        </is>
      </c>
      <c r="B101" t="inlineStr">
        <is>
          <t>avverkningsanmälan</t>
        </is>
      </c>
      <c r="C101" t="inlineStr">
        <is>
          <t>Avverkning för annat ändamål</t>
        </is>
      </c>
      <c r="D101" s="1" t="n">
        <v>45443</v>
      </c>
      <c r="E101" s="1" t="n">
        <v>46305</v>
      </c>
      <c r="F101" t="inlineStr">
        <is>
          <t>VÄSTRA GÖTALANDS LÄN</t>
        </is>
      </c>
      <c r="G101" t="inlineStr">
        <is>
          <t>FALKÖPING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40588-2022</t>
        </is>
      </c>
      <c r="B102" t="inlineStr">
        <is>
          <t>avverkningsanmälan</t>
        </is>
      </c>
      <c r="C102" t="inlineStr">
        <is>
          <t>Föryngringsavverkning</t>
        </is>
      </c>
      <c r="D102" s="1" t="n">
        <v>44823</v>
      </c>
      <c r="E102" s="1" t="n">
        <v>46305</v>
      </c>
      <c r="F102" t="inlineStr">
        <is>
          <t>VÄSTRA GÖTALANDS LÄN</t>
        </is>
      </c>
      <c r="G102" t="inlineStr">
        <is>
          <t>FALKÖPING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40589-2022</t>
        </is>
      </c>
      <c r="B103" t="inlineStr">
        <is>
          <t>avverkningsanmälan</t>
        </is>
      </c>
      <c r="C103" t="inlineStr">
        <is>
          <t>Föryngringsavverkning</t>
        </is>
      </c>
      <c r="D103" s="1" t="n">
        <v>44823</v>
      </c>
      <c r="E103" s="1" t="n">
        <v>46305</v>
      </c>
      <c r="F103" t="inlineStr">
        <is>
          <t>VÄSTRA GÖTALANDS LÄN</t>
        </is>
      </c>
      <c r="G103" t="inlineStr">
        <is>
          <t>FALKÖPING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4436-2023</t>
        </is>
      </c>
      <c r="B104" t="inlineStr">
        <is>
          <t>avverkningsanmälan</t>
        </is>
      </c>
      <c r="C104" t="inlineStr">
        <is>
          <t>Föryngringsavverkning</t>
        </is>
      </c>
      <c r="D104" s="1" t="n">
        <v>44952</v>
      </c>
      <c r="E104" s="1" t="n">
        <v>46305</v>
      </c>
      <c r="F104" t="inlineStr">
        <is>
          <t>VÄSTRA GÖTALANDS LÄN</t>
        </is>
      </c>
      <c r="G104" t="inlineStr">
        <is>
          <t>FALKÖPING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52893-2023</t>
        </is>
      </c>
      <c r="B105" t="inlineStr">
        <is>
          <t>avverkningsanmälan</t>
        </is>
      </c>
      <c r="C105" t="inlineStr">
        <is>
          <t>Föryngringsavverkning</t>
        </is>
      </c>
      <c r="D105" s="1" t="n">
        <v>45226</v>
      </c>
      <c r="E105" s="1" t="n">
        <v>46305</v>
      </c>
      <c r="F105" t="inlineStr">
        <is>
          <t>VÄSTRA GÖTALANDS LÄN</t>
        </is>
      </c>
      <c r="G105" t="inlineStr">
        <is>
          <t>FALKÖPING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52897-2023</t>
        </is>
      </c>
      <c r="B106" t="inlineStr">
        <is>
          <t>avverkningsanmälan</t>
        </is>
      </c>
      <c r="C106" t="inlineStr">
        <is>
          <t>Föryngringsavverkning</t>
        </is>
      </c>
      <c r="D106" s="1" t="n">
        <v>45226</v>
      </c>
      <c r="E106" s="1" t="n">
        <v>46305</v>
      </c>
      <c r="F106" t="inlineStr">
        <is>
          <t>VÄSTRA GÖTALANDS LÄN</t>
        </is>
      </c>
      <c r="G106" t="inlineStr">
        <is>
          <t>FALKÖPING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18759-2024</t>
        </is>
      </c>
      <c r="B107" t="inlineStr">
        <is>
          <t>avverkningsanmälan</t>
        </is>
      </c>
      <c r="C107" t="inlineStr">
        <is>
          <t>Föryngringsavverkning</t>
        </is>
      </c>
      <c r="D107" s="1" t="n">
        <v>45426</v>
      </c>
      <c r="E107" s="1" t="n">
        <v>46305</v>
      </c>
      <c r="F107" t="inlineStr">
        <is>
          <t>VÄSTRA GÖTALANDS LÄN</t>
        </is>
      </c>
      <c r="G107" t="inlineStr">
        <is>
          <t>FALKÖPING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21332-2023</t>
        </is>
      </c>
      <c r="B108" t="inlineStr">
        <is>
          <t>avverkningsanmälan</t>
        </is>
      </c>
      <c r="C108" t="inlineStr">
        <is>
          <t>Föryngringsavverkning</t>
        </is>
      </c>
      <c r="D108" s="1" t="n">
        <v>45062</v>
      </c>
      <c r="E108" s="1" t="n">
        <v>46305</v>
      </c>
      <c r="F108" t="inlineStr">
        <is>
          <t>VÄSTRA GÖTALANDS LÄN</t>
        </is>
      </c>
      <c r="G108" t="inlineStr">
        <is>
          <t>FALKÖPING</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49332-2024</t>
        </is>
      </c>
      <c r="B109" t="inlineStr">
        <is>
          <t>avverkningsanmälan</t>
        </is>
      </c>
      <c r="C109" t="inlineStr">
        <is>
          <t>Föryngringsavverkning</t>
        </is>
      </c>
      <c r="D109" s="1" t="n">
        <v>45595</v>
      </c>
      <c r="E109" s="1" t="n">
        <v>46305</v>
      </c>
      <c r="F109" t="inlineStr">
        <is>
          <t>VÄSTRA GÖTALANDS LÄN</t>
        </is>
      </c>
      <c r="G109" t="inlineStr">
        <is>
          <t>FALKÖPING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60292-2023</t>
        </is>
      </c>
      <c r="B110" t="inlineStr">
        <is>
          <t>avverkningsanmälan</t>
        </is>
      </c>
      <c r="C110" t="inlineStr">
        <is>
          <t>Föryngringsavverkning</t>
        </is>
      </c>
      <c r="D110" s="1" t="n">
        <v>45257</v>
      </c>
      <c r="E110" s="1" t="n">
        <v>46305</v>
      </c>
      <c r="F110" t="inlineStr">
        <is>
          <t>VÄSTRA GÖTALANDS LÄN</t>
        </is>
      </c>
      <c r="G110" t="inlineStr">
        <is>
          <t>FALKÖPING</t>
        </is>
      </c>
      <c r="I110" t="n">
        <v>10.3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44878-2023</t>
        </is>
      </c>
      <c r="B111" t="inlineStr">
        <is>
          <t>avverkningsanmälan</t>
        </is>
      </c>
      <c r="C111" t="inlineStr">
        <is>
          <t>Föryngringsavverkning</t>
        </is>
      </c>
      <c r="D111" s="1" t="n">
        <v>45187</v>
      </c>
      <c r="E111" s="1" t="n">
        <v>46305</v>
      </c>
      <c r="F111" t="inlineStr">
        <is>
          <t>VÄSTRA GÖTALANDS LÄN</t>
        </is>
      </c>
      <c r="G111" t="inlineStr">
        <is>
          <t>FALKÖPING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58923-2021</t>
        </is>
      </c>
      <c r="B112" t="inlineStr">
        <is>
          <t>avverkningsanmälan</t>
        </is>
      </c>
      <c r="C112" t="inlineStr">
        <is>
          <t>Föryngringsavverkning</t>
        </is>
      </c>
      <c r="D112" s="1" t="n">
        <v>44489</v>
      </c>
      <c r="E112" s="1" t="n">
        <v>46305</v>
      </c>
      <c r="F112" t="inlineStr">
        <is>
          <t>VÄSTRA GÖTALANDS LÄN</t>
        </is>
      </c>
      <c r="G112" t="inlineStr">
        <is>
          <t>FALKÖPING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4675-2023</t>
        </is>
      </c>
      <c r="B113" t="inlineStr">
        <is>
          <t>avverkningsanmälan</t>
        </is>
      </c>
      <c r="C113" t="inlineStr">
        <is>
          <t>Föryngringsavverkning</t>
        </is>
      </c>
      <c r="D113" s="1" t="n">
        <v>44957</v>
      </c>
      <c r="E113" s="1" t="n">
        <v>46305</v>
      </c>
      <c r="F113" t="inlineStr">
        <is>
          <t>VÄSTRA GÖTALANDS LÄN</t>
        </is>
      </c>
      <c r="G113" t="inlineStr">
        <is>
          <t>FALKÖPING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8345-2024</t>
        </is>
      </c>
      <c r="B114" t="inlineStr">
        <is>
          <t>avverkningsanmälan</t>
        </is>
      </c>
      <c r="C114" t="inlineStr">
        <is>
          <t>Föryngringsavverkning</t>
        </is>
      </c>
      <c r="D114" s="1" t="n">
        <v>45352</v>
      </c>
      <c r="E114" s="1" t="n">
        <v>46305</v>
      </c>
      <c r="F114" t="inlineStr">
        <is>
          <t>VÄSTRA GÖTALANDS LÄN</t>
        </is>
      </c>
      <c r="G114" t="inlineStr">
        <is>
          <t>FALKÖPING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25085-2024</t>
        </is>
      </c>
      <c r="B115" t="inlineStr">
        <is>
          <t>avverkningsanmälan</t>
        </is>
      </c>
      <c r="C115" t="inlineStr">
        <is>
          <t>Föryngringsavverkning</t>
        </is>
      </c>
      <c r="D115" s="1" t="n">
        <v>45462</v>
      </c>
      <c r="E115" s="1" t="n">
        <v>46305</v>
      </c>
      <c r="F115" t="inlineStr">
        <is>
          <t>VÄSTRA GÖTALANDS LÄN</t>
        </is>
      </c>
      <c r="G115" t="inlineStr">
        <is>
          <t>FALKÖPING</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37257-2024</t>
        </is>
      </c>
      <c r="B116" t="inlineStr">
        <is>
          <t>avverkningsanmälan</t>
        </is>
      </c>
      <c r="C116" t="inlineStr">
        <is>
          <t>Föryngringsavverkning</t>
        </is>
      </c>
      <c r="D116" s="1" t="n">
        <v>45540</v>
      </c>
      <c r="E116" s="1" t="n">
        <v>46305</v>
      </c>
      <c r="F116" t="inlineStr">
        <is>
          <t>VÄSTRA GÖTALANDS LÄN</t>
        </is>
      </c>
      <c r="G116" t="inlineStr">
        <is>
          <t>FALKÖPING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47922-2023</t>
        </is>
      </c>
      <c r="B117" t="inlineStr">
        <is>
          <t>avverkningsanmälan</t>
        </is>
      </c>
      <c r="C117" t="inlineStr">
        <is>
          <t>Föryngringsavverkning</t>
        </is>
      </c>
      <c r="D117" s="1" t="n">
        <v>45204</v>
      </c>
      <c r="E117" s="1" t="n">
        <v>46305</v>
      </c>
      <c r="F117" t="inlineStr">
        <is>
          <t>VÄSTRA GÖTALANDS LÄN</t>
        </is>
      </c>
      <c r="G117" t="inlineStr">
        <is>
          <t>FALKÖPING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37958-2022</t>
        </is>
      </c>
      <c r="B118" t="inlineStr">
        <is>
          <t>avverkningsanmälan</t>
        </is>
      </c>
      <c r="C118" t="inlineStr">
        <is>
          <t>Föryngringsavverkning</t>
        </is>
      </c>
      <c r="D118" s="1" t="n">
        <v>44811</v>
      </c>
      <c r="E118" s="1" t="n">
        <v>46305</v>
      </c>
      <c r="F118" t="inlineStr">
        <is>
          <t>VÄSTRA GÖTALANDS LÄN</t>
        </is>
      </c>
      <c r="G118" t="inlineStr">
        <is>
          <t>FALKÖPING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11440-2022</t>
        </is>
      </c>
      <c r="B119" t="inlineStr">
        <is>
          <t>avverkningsanmälan</t>
        </is>
      </c>
      <c r="C119" t="inlineStr">
        <is>
          <t>Föryngringsavverkning</t>
        </is>
      </c>
      <c r="D119" s="1" t="n">
        <v>44630</v>
      </c>
      <c r="E119" s="1" t="n">
        <v>46305</v>
      </c>
      <c r="F119" t="inlineStr">
        <is>
          <t>VÄSTRA GÖTALANDS LÄN</t>
        </is>
      </c>
      <c r="G119" t="inlineStr">
        <is>
          <t>FALKÖPING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4214-2024</t>
        </is>
      </c>
      <c r="B120" t="inlineStr">
        <is>
          <t>avverkningsanmälan</t>
        </is>
      </c>
      <c r="C120" t="inlineStr">
        <is>
          <t>Avverkning för annat ändamål</t>
        </is>
      </c>
      <c r="D120" s="1" t="n">
        <v>45324</v>
      </c>
      <c r="E120" s="1" t="n">
        <v>46305</v>
      </c>
      <c r="F120" t="inlineStr">
        <is>
          <t>VÄSTRA GÖTALANDS LÄN</t>
        </is>
      </c>
      <c r="G120" t="inlineStr">
        <is>
          <t>FALKÖPING</t>
        </is>
      </c>
      <c r="I120" t="n">
        <v>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32774-2023</t>
        </is>
      </c>
      <c r="B121" t="inlineStr">
        <is>
          <t>avverkningsanmälan</t>
        </is>
      </c>
      <c r="C121" t="inlineStr">
        <is>
          <t>Föryngringsavverkning</t>
        </is>
      </c>
      <c r="D121" s="1" t="n">
        <v>45123</v>
      </c>
      <c r="E121" s="1" t="n">
        <v>46305</v>
      </c>
      <c r="F121" t="inlineStr">
        <is>
          <t>VÄSTRA GÖTALANDS LÄN</t>
        </is>
      </c>
      <c r="G121" t="inlineStr">
        <is>
          <t>FALKÖPING</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61457-2024</t>
        </is>
      </c>
      <c r="B122" t="inlineStr">
        <is>
          <t>avverkningsanmälan</t>
        </is>
      </c>
      <c r="C122" t="inlineStr">
        <is>
          <t>Föryngringsavverkning</t>
        </is>
      </c>
      <c r="D122" s="1" t="n">
        <v>45646</v>
      </c>
      <c r="E122" s="1" t="n">
        <v>46305</v>
      </c>
      <c r="F122" t="inlineStr">
        <is>
          <t>VÄSTRA GÖTALANDS LÄN</t>
        </is>
      </c>
      <c r="G122" t="inlineStr">
        <is>
          <t>FALKÖPING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18927-2022</t>
        </is>
      </c>
      <c r="B123" t="inlineStr">
        <is>
          <t>avverkningsanmälan</t>
        </is>
      </c>
      <c r="C123" t="inlineStr">
        <is>
          <t>Föryngringsavverkning</t>
        </is>
      </c>
      <c r="D123" s="1" t="n">
        <v>44690</v>
      </c>
      <c r="E123" s="1" t="n">
        <v>46305</v>
      </c>
      <c r="F123" t="inlineStr">
        <is>
          <t>VÄSTRA GÖTALANDS LÄN</t>
        </is>
      </c>
      <c r="G123" t="inlineStr">
        <is>
          <t>FALKÖPING</t>
        </is>
      </c>
      <c r="H123" t="inlineStr">
        <is>
          <t>Kommuner</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30626-2023</t>
        </is>
      </c>
      <c r="B124" t="inlineStr">
        <is>
          <t>avverkningsanmälan</t>
        </is>
      </c>
      <c r="C124" t="inlineStr">
        <is>
          <t>Föryngringsavverkning</t>
        </is>
      </c>
      <c r="D124" s="1" t="n">
        <v>45112</v>
      </c>
      <c r="E124" s="1" t="n">
        <v>46305</v>
      </c>
      <c r="F124" t="inlineStr">
        <is>
          <t>VÄSTRA GÖTALANDS LÄN</t>
        </is>
      </c>
      <c r="G124" t="inlineStr">
        <is>
          <t>FALKÖPING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27606-2023</t>
        </is>
      </c>
      <c r="B125" t="inlineStr">
        <is>
          <t>avverkningsanmälan</t>
        </is>
      </c>
      <c r="C125" t="inlineStr">
        <is>
          <t>Föryngringsavverkning</t>
        </is>
      </c>
      <c r="D125" s="1" t="n">
        <v>45097</v>
      </c>
      <c r="E125" s="1" t="n">
        <v>46305</v>
      </c>
      <c r="F125" t="inlineStr">
        <is>
          <t>VÄSTRA GÖTALANDS LÄN</t>
        </is>
      </c>
      <c r="G125" t="inlineStr">
        <is>
          <t>FALKÖPING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32188-2024</t>
        </is>
      </c>
      <c r="B126" t="inlineStr">
        <is>
          <t>avverkningsanmälan</t>
        </is>
      </c>
      <c r="C126" t="inlineStr">
        <is>
          <t>Föryngringsavverkning</t>
        </is>
      </c>
      <c r="D126" s="1" t="n">
        <v>45511</v>
      </c>
      <c r="E126" s="1" t="n">
        <v>46305</v>
      </c>
      <c r="F126" t="inlineStr">
        <is>
          <t>VÄSTRA GÖTALANDS LÄN</t>
        </is>
      </c>
      <c r="G126" t="inlineStr">
        <is>
          <t>FALKÖPING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12774-2024</t>
        </is>
      </c>
      <c r="B127" t="inlineStr">
        <is>
          <t>avverkningsanmälan</t>
        </is>
      </c>
      <c r="C127" t="inlineStr">
        <is>
          <t>Föryngringsavverkning</t>
        </is>
      </c>
      <c r="D127" s="1" t="n">
        <v>45384</v>
      </c>
      <c r="E127" s="1" t="n">
        <v>46305</v>
      </c>
      <c r="F127" t="inlineStr">
        <is>
          <t>VÄSTRA GÖTALANDS LÄN</t>
        </is>
      </c>
      <c r="G127" t="inlineStr">
        <is>
          <t>FALKÖPING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29718-2024</t>
        </is>
      </c>
      <c r="B128" t="inlineStr">
        <is>
          <t>avverkningsanmälan</t>
        </is>
      </c>
      <c r="C128" t="inlineStr">
        <is>
          <t>Föryngringsavverkning</t>
        </is>
      </c>
      <c r="D128" s="1" t="n">
        <v>45485</v>
      </c>
      <c r="E128" s="1" t="n">
        <v>46305</v>
      </c>
      <c r="F128" t="inlineStr">
        <is>
          <t>VÄSTRA GÖTALANDS LÄN</t>
        </is>
      </c>
      <c r="G128" t="inlineStr">
        <is>
          <t>FALKÖPING</t>
        </is>
      </c>
      <c r="H128" t="inlineStr">
        <is>
          <t>Sveaskog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12754-2024</t>
        </is>
      </c>
      <c r="B129" t="inlineStr">
        <is>
          <t>avverkningsanmälan</t>
        </is>
      </c>
      <c r="C129" t="inlineStr">
        <is>
          <t>Föryngringsavverkning</t>
        </is>
      </c>
      <c r="D129" s="1" t="n">
        <v>45384</v>
      </c>
      <c r="E129" s="1" t="n">
        <v>46305</v>
      </c>
      <c r="F129" t="inlineStr">
        <is>
          <t>VÄSTRA GÖTALANDS LÄN</t>
        </is>
      </c>
      <c r="G129" t="inlineStr">
        <is>
          <t>FALKÖPING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9168-2023</t>
        </is>
      </c>
      <c r="B130" t="inlineStr">
        <is>
          <t>avverkningsanmälan</t>
        </is>
      </c>
      <c r="C130" t="inlineStr">
        <is>
          <t>Föryngringsavverkning</t>
        </is>
      </c>
      <c r="D130" s="1" t="n">
        <v>44980</v>
      </c>
      <c r="E130" s="1" t="n">
        <v>46305</v>
      </c>
      <c r="F130" t="inlineStr">
        <is>
          <t>VÄSTRA GÖTALANDS LÄN</t>
        </is>
      </c>
      <c r="G130" t="inlineStr">
        <is>
          <t>FALKÖPING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29974-2024</t>
        </is>
      </c>
      <c r="B131" t="inlineStr">
        <is>
          <t>avverkningsanmälan</t>
        </is>
      </c>
      <c r="C131" t="inlineStr">
        <is>
          <t>Föryngringsavverkning</t>
        </is>
      </c>
      <c r="D131" s="1" t="n">
        <v>45488</v>
      </c>
      <c r="E131" s="1" t="n">
        <v>46305</v>
      </c>
      <c r="F131" t="inlineStr">
        <is>
          <t>VÄSTRA GÖTALANDS LÄN</t>
        </is>
      </c>
      <c r="G131" t="inlineStr">
        <is>
          <t>FALKÖPING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10049-2023</t>
        </is>
      </c>
      <c r="B132" t="inlineStr">
        <is>
          <t>avverkningsanmälan</t>
        </is>
      </c>
      <c r="C132" t="inlineStr">
        <is>
          <t>Föryngringsavverkning</t>
        </is>
      </c>
      <c r="D132" s="1" t="n">
        <v>44985</v>
      </c>
      <c r="E132" s="1" t="n">
        <v>46305</v>
      </c>
      <c r="F132" t="inlineStr">
        <is>
          <t>VÄSTRA GÖTALANDS LÄN</t>
        </is>
      </c>
      <c r="G132" t="inlineStr">
        <is>
          <t>FALKÖPING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54090-2024</t>
        </is>
      </c>
      <c r="B133" t="inlineStr">
        <is>
          <t>avverkningsanmälan</t>
        </is>
      </c>
      <c r="C133" t="inlineStr">
        <is>
          <t>Föryngringsavverkning</t>
        </is>
      </c>
      <c r="D133" s="1" t="n">
        <v>45616</v>
      </c>
      <c r="E133" s="1" t="n">
        <v>46305</v>
      </c>
      <c r="F133" t="inlineStr">
        <is>
          <t>VÄSTRA GÖTALANDS LÄN</t>
        </is>
      </c>
      <c r="G133" t="inlineStr">
        <is>
          <t>FALKÖPING</t>
        </is>
      </c>
      <c r="I133" t="n">
        <v>7.8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26731-2023</t>
        </is>
      </c>
      <c r="B134" t="inlineStr">
        <is>
          <t>avverkningsanmälan</t>
        </is>
      </c>
      <c r="C134" t="inlineStr">
        <is>
          <t>Föryngringsavverkning</t>
        </is>
      </c>
      <c r="D134" s="1" t="n">
        <v>45093</v>
      </c>
      <c r="E134" s="1" t="n">
        <v>46305</v>
      </c>
      <c r="F134" t="inlineStr">
        <is>
          <t>VÄSTRA GÖTALANDS LÄN</t>
        </is>
      </c>
      <c r="G134" t="inlineStr">
        <is>
          <t>FALKÖPING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20468-2025</t>
        </is>
      </c>
      <c r="B135" t="inlineStr">
        <is>
          <t>avverkningsanmälan</t>
        </is>
      </c>
      <c r="C135" t="inlineStr">
        <is>
          <t>Föryngringsavverkning</t>
        </is>
      </c>
      <c r="D135" s="1" t="n">
        <v>45775</v>
      </c>
      <c r="E135" s="1" t="n">
        <v>46305</v>
      </c>
      <c r="F135" t="inlineStr">
        <is>
          <t>VÄSTRA GÖTALANDS LÄN</t>
        </is>
      </c>
      <c r="G135" t="inlineStr">
        <is>
          <t>FALKÖPING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55437-2024</t>
        </is>
      </c>
      <c r="B136" t="inlineStr">
        <is>
          <t>avverkningsanmälan</t>
        </is>
      </c>
      <c r="C136" t="inlineStr">
        <is>
          <t>Föryngringsavverkning</t>
        </is>
      </c>
      <c r="D136" s="1" t="n">
        <v>45622</v>
      </c>
      <c r="E136" s="1" t="n">
        <v>46305</v>
      </c>
      <c r="F136" t="inlineStr">
        <is>
          <t>VÄSTRA GÖTALANDS LÄN</t>
        </is>
      </c>
      <c r="G136" t="inlineStr">
        <is>
          <t>FALKÖPING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19470-2023</t>
        </is>
      </c>
      <c r="B137" t="inlineStr">
        <is>
          <t>avverkningsanmälan</t>
        </is>
      </c>
      <c r="C137" t="inlineStr">
        <is>
          <t>Föryngringsavverkning</t>
        </is>
      </c>
      <c r="D137" s="1" t="n">
        <v>45050</v>
      </c>
      <c r="E137" s="1" t="n">
        <v>46305</v>
      </c>
      <c r="F137" t="inlineStr">
        <is>
          <t>VÄSTRA GÖTALANDS LÄN</t>
        </is>
      </c>
      <c r="G137" t="inlineStr">
        <is>
          <t>FALKÖPING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19341-2023</t>
        </is>
      </c>
      <c r="B138" t="inlineStr">
        <is>
          <t>avverkningsanmälan</t>
        </is>
      </c>
      <c r="C138" t="inlineStr">
        <is>
          <t>Föryngringsavverkning</t>
        </is>
      </c>
      <c r="D138" s="1" t="n">
        <v>45049</v>
      </c>
      <c r="E138" s="1" t="n">
        <v>46305</v>
      </c>
      <c r="F138" t="inlineStr">
        <is>
          <t>VÄSTRA GÖTALANDS LÄN</t>
        </is>
      </c>
      <c r="G138" t="inlineStr">
        <is>
          <t>FALKÖPING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42877-2025</t>
        </is>
      </c>
      <c r="B139" t="inlineStr">
        <is>
          <t>avverkningsanmälan</t>
        </is>
      </c>
      <c r="C139" t="inlineStr">
        <is>
          <t>Föryngringsavverkning</t>
        </is>
      </c>
      <c r="D139" s="1" t="n">
        <v>45908</v>
      </c>
      <c r="E139" s="1" t="n">
        <v>46305</v>
      </c>
      <c r="F139" t="inlineStr">
        <is>
          <t>VÄSTRA GÖTALANDS LÄN</t>
        </is>
      </c>
      <c r="G139" t="inlineStr">
        <is>
          <t>FALKÖPING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52704-2023</t>
        </is>
      </c>
      <c r="B140" t="inlineStr">
        <is>
          <t>avverkningsanmälan</t>
        </is>
      </c>
      <c r="C140" t="inlineStr">
        <is>
          <t>Föryngringsavverkning</t>
        </is>
      </c>
      <c r="D140" s="1" t="n">
        <v>45225</v>
      </c>
      <c r="E140" s="1" t="n">
        <v>46305</v>
      </c>
      <c r="F140" t="inlineStr">
        <is>
          <t>VÄSTRA GÖTALANDS LÄN</t>
        </is>
      </c>
      <c r="G140" t="inlineStr">
        <is>
          <t>FALKÖPING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39515-2024</t>
        </is>
      </c>
      <c r="B141" t="inlineStr">
        <is>
          <t>avverkningsanmälan</t>
        </is>
      </c>
      <c r="C141" t="inlineStr">
        <is>
          <t>Föryngringsavverkning</t>
        </is>
      </c>
      <c r="D141" s="1" t="n">
        <v>45551</v>
      </c>
      <c r="E141" s="1" t="n">
        <v>46305</v>
      </c>
      <c r="F141" t="inlineStr">
        <is>
          <t>VÄSTRA GÖTALANDS LÄN</t>
        </is>
      </c>
      <c r="G141" t="inlineStr">
        <is>
          <t>FALKÖPING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35836-2023</t>
        </is>
      </c>
      <c r="B142" t="inlineStr">
        <is>
          <t>avverkningsanmälan</t>
        </is>
      </c>
      <c r="C142" t="inlineStr">
        <is>
          <t>Föryngringsavverkning</t>
        </is>
      </c>
      <c r="D142" s="1" t="n">
        <v>45148</v>
      </c>
      <c r="E142" s="1" t="n">
        <v>46305</v>
      </c>
      <c r="F142" t="inlineStr">
        <is>
          <t>VÄSTRA GÖTALANDS LÄN</t>
        </is>
      </c>
      <c r="G142" t="inlineStr">
        <is>
          <t>FALKÖPING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42997-2025</t>
        </is>
      </c>
      <c r="B143" t="inlineStr">
        <is>
          <t>avverkningsanmälan</t>
        </is>
      </c>
      <c r="C143" t="inlineStr">
        <is>
          <t>Föryngringsavverkning</t>
        </is>
      </c>
      <c r="D143" s="1" t="n">
        <v>45909</v>
      </c>
      <c r="E143" s="1" t="n">
        <v>46305</v>
      </c>
      <c r="F143" t="inlineStr">
        <is>
          <t>VÄSTRA GÖTALANDS LÄN</t>
        </is>
      </c>
      <c r="G143" t="inlineStr">
        <is>
          <t>FALKÖPING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37262-2024</t>
        </is>
      </c>
      <c r="B144" t="inlineStr">
        <is>
          <t>avverkningsanmälan</t>
        </is>
      </c>
      <c r="C144" t="inlineStr">
        <is>
          <t>Föryngringsavverkning</t>
        </is>
      </c>
      <c r="D144" s="1" t="n">
        <v>45540</v>
      </c>
      <c r="E144" s="1" t="n">
        <v>46305</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21001-2025</t>
        </is>
      </c>
      <c r="B145" t="inlineStr">
        <is>
          <t>avverkningsanmälan</t>
        </is>
      </c>
      <c r="C145" t="inlineStr">
        <is>
          <t>Föryngringsavverkning</t>
        </is>
      </c>
      <c r="D145" s="1" t="n">
        <v>45777</v>
      </c>
      <c r="E145" s="1" t="n">
        <v>46305</v>
      </c>
      <c r="F145" t="inlineStr">
        <is>
          <t>VÄSTRA GÖTALANDS LÄN</t>
        </is>
      </c>
      <c r="G145" t="inlineStr">
        <is>
          <t>FALKÖPING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21003-2025</t>
        </is>
      </c>
      <c r="B146" t="inlineStr">
        <is>
          <t>avverkningsanmälan</t>
        </is>
      </c>
      <c r="C146" t="inlineStr">
        <is>
          <t>Föryngringsavverkning</t>
        </is>
      </c>
      <c r="D146" s="1" t="n">
        <v>45777</v>
      </c>
      <c r="E146" s="1" t="n">
        <v>46305</v>
      </c>
      <c r="F146" t="inlineStr">
        <is>
          <t>VÄSTRA GÖTALANDS LÄN</t>
        </is>
      </c>
      <c r="G146" t="inlineStr">
        <is>
          <t>FALKÖPING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21031-2025</t>
        </is>
      </c>
      <c r="B147" t="inlineStr">
        <is>
          <t>avverkningsanmälan</t>
        </is>
      </c>
      <c r="C147" t="inlineStr">
        <is>
          <t>Föryngringsavverkning</t>
        </is>
      </c>
      <c r="D147" s="1" t="n">
        <v>45777</v>
      </c>
      <c r="E147" s="1" t="n">
        <v>46305</v>
      </c>
      <c r="F147" t="inlineStr">
        <is>
          <t>VÄSTRA GÖTALANDS LÄN</t>
        </is>
      </c>
      <c r="G147" t="inlineStr">
        <is>
          <t>FALKÖPING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21030-2025</t>
        </is>
      </c>
      <c r="B148" t="inlineStr">
        <is>
          <t>avverkningsanmälan</t>
        </is>
      </c>
      <c r="C148" t="inlineStr">
        <is>
          <t>Föryngringsavverkning</t>
        </is>
      </c>
      <c r="D148" s="1" t="n">
        <v>45777</v>
      </c>
      <c r="E148" s="1" t="n">
        <v>46305</v>
      </c>
      <c r="F148" t="inlineStr">
        <is>
          <t>VÄSTRA GÖTALANDS LÄN</t>
        </is>
      </c>
      <c r="G148" t="inlineStr">
        <is>
          <t>FALKÖPING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10511-2023</t>
        </is>
      </c>
      <c r="B149" t="inlineStr">
        <is>
          <t>avverkningsanmälan</t>
        </is>
      </c>
      <c r="C149" t="inlineStr">
        <is>
          <t>Föryngringsavverkning</t>
        </is>
      </c>
      <c r="D149" s="1" t="n">
        <v>44987</v>
      </c>
      <c r="E149" s="1" t="n">
        <v>46305</v>
      </c>
      <c r="F149" t="inlineStr">
        <is>
          <t>VÄSTRA GÖTALANDS LÄN</t>
        </is>
      </c>
      <c r="G149" t="inlineStr">
        <is>
          <t>FALKÖPING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23475-2023</t>
        </is>
      </c>
      <c r="B150" t="inlineStr">
        <is>
          <t>avverkningsanmälan</t>
        </is>
      </c>
      <c r="C150" t="inlineStr">
        <is>
          <t>Föryngringsavverkning</t>
        </is>
      </c>
      <c r="D150" s="1" t="n">
        <v>45076</v>
      </c>
      <c r="E150" s="1" t="n">
        <v>46305</v>
      </c>
      <c r="F150" t="inlineStr">
        <is>
          <t>VÄSTRA GÖTALANDS LÄN</t>
        </is>
      </c>
      <c r="G150" t="inlineStr">
        <is>
          <t>FALKÖPING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35842-2023</t>
        </is>
      </c>
      <c r="B151" t="inlineStr">
        <is>
          <t>avverkningsanmälan</t>
        </is>
      </c>
      <c r="C151" t="inlineStr">
        <is>
          <t>Föryngringsavverkning</t>
        </is>
      </c>
      <c r="D151" s="1" t="n">
        <v>45148</v>
      </c>
      <c r="E151" s="1" t="n">
        <v>46305</v>
      </c>
      <c r="F151" t="inlineStr">
        <is>
          <t>VÄSTRA GÖTALANDS LÄN</t>
        </is>
      </c>
      <c r="G151" t="inlineStr">
        <is>
          <t>FALKÖPING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37058-2024</t>
        </is>
      </c>
      <c r="B152" t="inlineStr">
        <is>
          <t>avverkningsanmälan</t>
        </is>
      </c>
      <c r="C152" t="inlineStr">
        <is>
          <t>Föryngringsavverkning</t>
        </is>
      </c>
      <c r="D152" s="1" t="n">
        <v>45539</v>
      </c>
      <c r="E152" s="1" t="n">
        <v>46305</v>
      </c>
      <c r="F152" t="inlineStr">
        <is>
          <t>VÄSTRA GÖTALANDS LÄN</t>
        </is>
      </c>
      <c r="G152" t="inlineStr">
        <is>
          <t>FALKÖPING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39514-2024</t>
        </is>
      </c>
      <c r="B153" t="inlineStr">
        <is>
          <t>avverkningsanmälan</t>
        </is>
      </c>
      <c r="C153" t="inlineStr">
        <is>
          <t>Föryngringsavverkning</t>
        </is>
      </c>
      <c r="D153" s="1" t="n">
        <v>45551</v>
      </c>
      <c r="E153" s="1" t="n">
        <v>46305</v>
      </c>
      <c r="F153" t="inlineStr">
        <is>
          <t>VÄSTRA GÖTALANDS LÄN</t>
        </is>
      </c>
      <c r="G153" t="inlineStr">
        <is>
          <t>FALKÖPING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6952-2024</t>
        </is>
      </c>
      <c r="B154" t="inlineStr">
        <is>
          <t>avverkningsanmälan</t>
        </is>
      </c>
      <c r="C154" t="inlineStr">
        <is>
          <t>Avverkning för annat ändamål</t>
        </is>
      </c>
      <c r="D154" s="1" t="n">
        <v>45343</v>
      </c>
      <c r="E154" s="1" t="n">
        <v>46305</v>
      </c>
      <c r="F154" t="inlineStr">
        <is>
          <t>VÄSTRA GÖTALANDS LÄN</t>
        </is>
      </c>
      <c r="G154" t="inlineStr">
        <is>
          <t>FALKÖPING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15928-2023</t>
        </is>
      </c>
      <c r="B155" t="inlineStr">
        <is>
          <t>avverkningsanmälan</t>
        </is>
      </c>
      <c r="C155" t="inlineStr">
        <is>
          <t>Föryngringsavverkning</t>
        </is>
      </c>
      <c r="D155" s="1" t="n">
        <v>45022</v>
      </c>
      <c r="E155" s="1" t="n">
        <v>46305</v>
      </c>
      <c r="F155" t="inlineStr">
        <is>
          <t>VÄSTRA GÖTALANDS LÄN</t>
        </is>
      </c>
      <c r="G155" t="inlineStr">
        <is>
          <t>FALKÖPING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51664-2024</t>
        </is>
      </c>
      <c r="B156" t="inlineStr">
        <is>
          <t>avverkningsanmälan</t>
        </is>
      </c>
      <c r="C156" t="inlineStr">
        <is>
          <t>Föryngringsavverkning</t>
        </is>
      </c>
      <c r="D156" s="1" t="n">
        <v>45606</v>
      </c>
      <c r="E156" s="1" t="n">
        <v>46305</v>
      </c>
      <c r="F156" t="inlineStr">
        <is>
          <t>VÄSTRA GÖTALANDS LÄN</t>
        </is>
      </c>
      <c r="G156" t="inlineStr">
        <is>
          <t>FALKÖPING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47067-2024</t>
        </is>
      </c>
      <c r="B157" t="inlineStr">
        <is>
          <t>avverkningsanmälan</t>
        </is>
      </c>
      <c r="C157" t="inlineStr">
        <is>
          <t>Föryngringsavverkning</t>
        </is>
      </c>
      <c r="D157" s="1" t="n">
        <v>45586</v>
      </c>
      <c r="E157" s="1" t="n">
        <v>46305</v>
      </c>
      <c r="F157" t="inlineStr">
        <is>
          <t>VÄSTRA GÖTALANDS LÄN</t>
        </is>
      </c>
      <c r="G157" t="inlineStr">
        <is>
          <t>FALKÖPING</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4415-2023</t>
        </is>
      </c>
      <c r="B158" t="inlineStr">
        <is>
          <t>avverkningsanmälan</t>
        </is>
      </c>
      <c r="C158" t="inlineStr">
        <is>
          <t>Föryngringsavverkning</t>
        </is>
      </c>
      <c r="D158" s="1" t="n">
        <v>44952</v>
      </c>
      <c r="E158" s="1" t="n">
        <v>46305</v>
      </c>
      <c r="F158" t="inlineStr">
        <is>
          <t>VÄSTRA GÖTALANDS LÄN</t>
        </is>
      </c>
      <c r="G158" t="inlineStr">
        <is>
          <t>FALKÖPING</t>
        </is>
      </c>
      <c r="I158" t="n">
        <v>17.8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18661-2024</t>
        </is>
      </c>
      <c r="B159" t="inlineStr">
        <is>
          <t>avverkningsanmälan</t>
        </is>
      </c>
      <c r="C159" t="inlineStr">
        <is>
          <t>Föryngringsavverkning</t>
        </is>
      </c>
      <c r="D159" s="1" t="n">
        <v>45426</v>
      </c>
      <c r="E159" s="1" t="n">
        <v>46305</v>
      </c>
      <c r="F159" t="inlineStr">
        <is>
          <t>VÄSTRA GÖTALANDS LÄN</t>
        </is>
      </c>
      <c r="G159" t="inlineStr">
        <is>
          <t>FALKÖPING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7895-2024</t>
        </is>
      </c>
      <c r="B160" t="inlineStr">
        <is>
          <t>avverkningsanmälan</t>
        </is>
      </c>
      <c r="C160" t="inlineStr">
        <is>
          <t>Föryngringsavverkning</t>
        </is>
      </c>
      <c r="D160" s="1" t="n">
        <v>45350</v>
      </c>
      <c r="E160" s="1" t="n">
        <v>46305</v>
      </c>
      <c r="F160" t="inlineStr">
        <is>
          <t>VÄSTRA GÖTALANDS LÄN</t>
        </is>
      </c>
      <c r="G160" t="inlineStr">
        <is>
          <t>FALKÖPING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11869-2025</t>
        </is>
      </c>
      <c r="B161" t="inlineStr">
        <is>
          <t>avverkningsanmälan</t>
        </is>
      </c>
      <c r="C161" t="inlineStr">
        <is>
          <t>Föryngringsavverkning</t>
        </is>
      </c>
      <c r="D161" s="1" t="n">
        <v>45728</v>
      </c>
      <c r="E161" s="1" t="n">
        <v>46305</v>
      </c>
      <c r="F161" t="inlineStr">
        <is>
          <t>VÄSTRA GÖTALANDS LÄN</t>
        </is>
      </c>
      <c r="G161" t="inlineStr">
        <is>
          <t>FALKÖPING</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58717-2021</t>
        </is>
      </c>
      <c r="B162" t="inlineStr">
        <is>
          <t>avverkningsanmälan</t>
        </is>
      </c>
      <c r="C162" t="inlineStr">
        <is>
          <t>Föryngringsavverkning</t>
        </is>
      </c>
      <c r="D162" s="1" t="n">
        <v>44489</v>
      </c>
      <c r="E162" s="1" t="n">
        <v>46305</v>
      </c>
      <c r="F162" t="inlineStr">
        <is>
          <t>VÄSTRA GÖTALANDS LÄN</t>
        </is>
      </c>
      <c r="G162" t="inlineStr">
        <is>
          <t>FALKÖPING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41079-2024</t>
        </is>
      </c>
      <c r="B163" t="inlineStr">
        <is>
          <t>avverkningsanmälan</t>
        </is>
      </c>
      <c r="C163" t="inlineStr">
        <is>
          <t>Avverkning för annat ändamål</t>
        </is>
      </c>
      <c r="D163" s="1" t="n">
        <v>45559</v>
      </c>
      <c r="E163" s="1" t="n">
        <v>46305</v>
      </c>
      <c r="F163" t="inlineStr">
        <is>
          <t>VÄSTRA GÖTALANDS LÄN</t>
        </is>
      </c>
      <c r="G163" t="inlineStr">
        <is>
          <t>FALKÖPING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46339-2025</t>
        </is>
      </c>
      <c r="B164" t="inlineStr">
        <is>
          <t>avverkningsanmälan</t>
        </is>
      </c>
      <c r="C164" t="inlineStr">
        <is>
          <t>Avverkning för annat ändamål</t>
        </is>
      </c>
      <c r="D164" s="1" t="n">
        <v>45925</v>
      </c>
      <c r="E164" s="1" t="n">
        <v>46305</v>
      </c>
      <c r="F164" t="inlineStr">
        <is>
          <t>VÄSTRA GÖTALANDS LÄN</t>
        </is>
      </c>
      <c r="G164" t="inlineStr">
        <is>
          <t>FALKÖPING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60239-2024</t>
        </is>
      </c>
      <c r="B165" t="inlineStr">
        <is>
          <t>avverkningsanmälan</t>
        </is>
      </c>
      <c r="C165" t="inlineStr">
        <is>
          <t>Föryngringsavverkning</t>
        </is>
      </c>
      <c r="D165" s="1" t="n">
        <v>45642</v>
      </c>
      <c r="E165" s="1" t="n">
        <v>46305</v>
      </c>
      <c r="F165" t="inlineStr">
        <is>
          <t>VÄSTRA GÖTALANDS LÄN</t>
        </is>
      </c>
      <c r="G165" t="inlineStr">
        <is>
          <t>FALKÖPING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60240-2024</t>
        </is>
      </c>
      <c r="B166" t="inlineStr">
        <is>
          <t>avverkningsanmälan</t>
        </is>
      </c>
      <c r="C166" t="inlineStr">
        <is>
          <t>Föryngringsavverkning</t>
        </is>
      </c>
      <c r="D166" s="1" t="n">
        <v>45642</v>
      </c>
      <c r="E166" s="1" t="n">
        <v>46305</v>
      </c>
      <c r="F166" t="inlineStr">
        <is>
          <t>VÄSTRA GÖTALANDS LÄN</t>
        </is>
      </c>
      <c r="G166" t="inlineStr">
        <is>
          <t>FALKÖPING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14770-2023</t>
        </is>
      </c>
      <c r="B167" t="inlineStr">
        <is>
          <t>avverkningsanmälan</t>
        </is>
      </c>
      <c r="C167" t="inlineStr">
        <is>
          <t>Föryngringsavverkning</t>
        </is>
      </c>
      <c r="D167" s="1" t="n">
        <v>45014</v>
      </c>
      <c r="E167" s="1" t="n">
        <v>46305</v>
      </c>
      <c r="F167" t="inlineStr">
        <is>
          <t>VÄSTRA GÖTALANDS LÄN</t>
        </is>
      </c>
      <c r="G167" t="inlineStr">
        <is>
          <t>FALKÖPING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25713-2023</t>
        </is>
      </c>
      <c r="B168" t="inlineStr">
        <is>
          <t>avverkningsanmälan</t>
        </is>
      </c>
      <c r="C168" t="inlineStr">
        <is>
          <t>Föryngringsavverkning</t>
        </is>
      </c>
      <c r="D168" s="1" t="n">
        <v>45090</v>
      </c>
      <c r="E168" s="1" t="n">
        <v>46305</v>
      </c>
      <c r="F168" t="inlineStr">
        <is>
          <t>VÄSTRA GÖTALANDS LÄN</t>
        </is>
      </c>
      <c r="G168" t="inlineStr">
        <is>
          <t>FALKÖPING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23014-2023</t>
        </is>
      </c>
      <c r="B169" t="inlineStr">
        <is>
          <t>avverkningsanmälan</t>
        </is>
      </c>
      <c r="C169" t="inlineStr">
        <is>
          <t>Avverkning för annat ändamål</t>
        </is>
      </c>
      <c r="D169" s="1" t="n">
        <v>45073</v>
      </c>
      <c r="E169" s="1" t="n">
        <v>46305</v>
      </c>
      <c r="F169" t="inlineStr">
        <is>
          <t>VÄSTRA GÖTALANDS LÄN</t>
        </is>
      </c>
      <c r="G169" t="inlineStr">
        <is>
          <t>FALKÖPING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17535-2025</t>
        </is>
      </c>
      <c r="B170" t="inlineStr">
        <is>
          <t>avverkningsanmälan</t>
        </is>
      </c>
      <c r="C170" t="inlineStr">
        <is>
          <t>Föryngringsavverkning</t>
        </is>
      </c>
      <c r="D170" s="1" t="n">
        <v>45757</v>
      </c>
      <c r="E170" s="1" t="n">
        <v>46305</v>
      </c>
      <c r="F170" t="inlineStr">
        <is>
          <t>VÄSTRA GÖTALANDS LÄN</t>
        </is>
      </c>
      <c r="G170" t="inlineStr">
        <is>
          <t>FALKÖPING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5487-2024</t>
        </is>
      </c>
      <c r="B171" t="inlineStr">
        <is>
          <t>avverkningsanmälan</t>
        </is>
      </c>
      <c r="C171" t="inlineStr">
        <is>
          <t>Föryngringsavverkning</t>
        </is>
      </c>
      <c r="D171" s="1" t="n">
        <v>45334</v>
      </c>
      <c r="E171" s="1" t="n">
        <v>46305</v>
      </c>
      <c r="F171" t="inlineStr">
        <is>
          <t>VÄSTRA GÖTALANDS LÄN</t>
        </is>
      </c>
      <c r="G171" t="inlineStr">
        <is>
          <t>FALKÖPING</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44000-2022</t>
        </is>
      </c>
      <c r="B172" t="inlineStr">
        <is>
          <t>avverkningsanmälan</t>
        </is>
      </c>
      <c r="C172" t="inlineStr">
        <is>
          <t>Föryngringsavverkning</t>
        </is>
      </c>
      <c r="D172" s="1" t="n">
        <v>44838</v>
      </c>
      <c r="E172" s="1" t="n">
        <v>46305</v>
      </c>
      <c r="F172" t="inlineStr">
        <is>
          <t>VÄSTRA GÖTALANDS LÄN</t>
        </is>
      </c>
      <c r="G172" t="inlineStr">
        <is>
          <t>FALKÖPING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44023-2022</t>
        </is>
      </c>
      <c r="B173" t="inlineStr">
        <is>
          <t>avverkningsanmälan</t>
        </is>
      </c>
      <c r="C173" t="inlineStr">
        <is>
          <t>Föryngringsavverkning</t>
        </is>
      </c>
      <c r="D173" s="1" t="n">
        <v>44838</v>
      </c>
      <c r="E173" s="1" t="n">
        <v>46305</v>
      </c>
      <c r="F173" t="inlineStr">
        <is>
          <t>VÄSTRA GÖTALANDS LÄN</t>
        </is>
      </c>
      <c r="G173" t="inlineStr">
        <is>
          <t>FALKÖPING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14108-2025</t>
        </is>
      </c>
      <c r="B174" t="inlineStr">
        <is>
          <t>avverkningsanmälan</t>
        </is>
      </c>
      <c r="C174" t="inlineStr">
        <is>
          <t>Föryngringsavverkning</t>
        </is>
      </c>
      <c r="D174" s="1" t="n">
        <v>45740</v>
      </c>
      <c r="E174" s="1" t="n">
        <v>46305</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10929-2024</t>
        </is>
      </c>
      <c r="B175" t="inlineStr">
        <is>
          <t>avverkningsanmälan</t>
        </is>
      </c>
      <c r="C175" t="inlineStr">
        <is>
          <t>Föryngringsavverkning</t>
        </is>
      </c>
      <c r="D175" s="1" t="n">
        <v>45370</v>
      </c>
      <c r="E175" s="1" t="n">
        <v>46305</v>
      </c>
      <c r="F175" t="inlineStr">
        <is>
          <t>VÄSTRA GÖTALANDS LÄN</t>
        </is>
      </c>
      <c r="G175" t="inlineStr">
        <is>
          <t>FALKÖPING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14338-2025</t>
        </is>
      </c>
      <c r="B176" t="inlineStr">
        <is>
          <t>avverkningsanmälan</t>
        </is>
      </c>
      <c r="C176" t="inlineStr">
        <is>
          <t>Föryngringsavverkning</t>
        </is>
      </c>
      <c r="D176" s="1" t="n">
        <v>45740</v>
      </c>
      <c r="E176" s="1" t="n">
        <v>46305</v>
      </c>
      <c r="F176" t="inlineStr">
        <is>
          <t>VÄSTRA GÖTALANDS LÄN</t>
        </is>
      </c>
      <c r="G176" t="inlineStr">
        <is>
          <t>FALKÖPING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54578-2023</t>
        </is>
      </c>
      <c r="B177" t="inlineStr">
        <is>
          <t>avverkningsanmälan</t>
        </is>
      </c>
      <c r="C177" t="inlineStr">
        <is>
          <t>Föryngringsavverkning</t>
        </is>
      </c>
      <c r="D177" s="1" t="n">
        <v>45233</v>
      </c>
      <c r="E177" s="1" t="n">
        <v>46305</v>
      </c>
      <c r="F177" t="inlineStr">
        <is>
          <t>VÄSTRA GÖTALANDS LÄN</t>
        </is>
      </c>
      <c r="G177" t="inlineStr">
        <is>
          <t>FALKÖPING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64022-2023</t>
        </is>
      </c>
      <c r="B178" t="inlineStr">
        <is>
          <t>avverkningsanmälan</t>
        </is>
      </c>
      <c r="C178" t="inlineStr">
        <is>
          <t>Avverkning för annat ändamål</t>
        </is>
      </c>
      <c r="D178" s="1" t="n">
        <v>45278</v>
      </c>
      <c r="E178" s="1" t="n">
        <v>46305</v>
      </c>
      <c r="F178" t="inlineStr">
        <is>
          <t>VÄSTRA GÖTALANDS LÄN</t>
        </is>
      </c>
      <c r="G178" t="inlineStr">
        <is>
          <t>FALKÖPING</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46338-2025</t>
        </is>
      </c>
      <c r="B179" t="inlineStr">
        <is>
          <t>avverkningsanmälan</t>
        </is>
      </c>
      <c r="C179" t="inlineStr">
        <is>
          <t>Avverkning för annat ändamål</t>
        </is>
      </c>
      <c r="D179" s="1" t="n">
        <v>45925</v>
      </c>
      <c r="E179" s="1" t="n">
        <v>46305</v>
      </c>
      <c r="F179" t="inlineStr">
        <is>
          <t>VÄSTRA GÖTALANDS LÄN</t>
        </is>
      </c>
      <c r="G179" t="inlineStr">
        <is>
          <t>FALKÖPING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39997-2023</t>
        </is>
      </c>
      <c r="B180" t="inlineStr">
        <is>
          <t>avverkningsanmälan</t>
        </is>
      </c>
      <c r="C180" t="inlineStr">
        <is>
          <t>Föryngringsavverkning</t>
        </is>
      </c>
      <c r="D180" s="1" t="n">
        <v>45168</v>
      </c>
      <c r="E180" s="1" t="n">
        <v>46305</v>
      </c>
      <c r="F180" t="inlineStr">
        <is>
          <t>VÄSTRA GÖTALANDS LÄN</t>
        </is>
      </c>
      <c r="G180" t="inlineStr">
        <is>
          <t>FALKÖPING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47373-2025</t>
        </is>
      </c>
      <c r="B181" t="inlineStr">
        <is>
          <t>avverkningsanmälan</t>
        </is>
      </c>
      <c r="C181" t="inlineStr">
        <is>
          <t>Föryngringsavverkning</t>
        </is>
      </c>
      <c r="D181" s="1" t="n">
        <v>45930</v>
      </c>
      <c r="E181" s="1" t="n">
        <v>46305</v>
      </c>
      <c r="F181" t="inlineStr">
        <is>
          <t>VÄSTRA GÖTALANDS LÄN</t>
        </is>
      </c>
      <c r="G181" t="inlineStr">
        <is>
          <t>FALKÖPING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8436-2025</t>
        </is>
      </c>
      <c r="B182" t="inlineStr">
        <is>
          <t>avverkningsanmälan</t>
        </is>
      </c>
      <c r="C182" t="inlineStr">
        <is>
          <t>Föryngringsavverkning</t>
        </is>
      </c>
      <c r="D182" s="1" t="n">
        <v>45709</v>
      </c>
      <c r="E182" s="1" t="n">
        <v>46305</v>
      </c>
      <c r="F182" t="inlineStr">
        <is>
          <t>VÄSTRA GÖTALANDS LÄN</t>
        </is>
      </c>
      <c r="G182" t="inlineStr">
        <is>
          <t>FALKÖPING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54884-2024</t>
        </is>
      </c>
      <c r="B183" t="inlineStr">
        <is>
          <t>avverkningsanmälan</t>
        </is>
      </c>
      <c r="C183" t="inlineStr">
        <is>
          <t>Föryngringsavverkning</t>
        </is>
      </c>
      <c r="D183" s="1" t="n">
        <v>45618</v>
      </c>
      <c r="E183" s="1" t="n">
        <v>46305</v>
      </c>
      <c r="F183" t="inlineStr">
        <is>
          <t>VÄSTRA GÖTALANDS LÄN</t>
        </is>
      </c>
      <c r="G183" t="inlineStr">
        <is>
          <t>FALKÖPING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34456-2024</t>
        </is>
      </c>
      <c r="B184" t="inlineStr">
        <is>
          <t>avverkningsanmälan</t>
        </is>
      </c>
      <c r="C184" t="inlineStr">
        <is>
          <t>Föryngringsavverkning</t>
        </is>
      </c>
      <c r="D184" s="1" t="n">
        <v>45525</v>
      </c>
      <c r="E184" s="1" t="n">
        <v>46305</v>
      </c>
      <c r="F184" t="inlineStr">
        <is>
          <t>VÄSTRA GÖTALANDS LÄN</t>
        </is>
      </c>
      <c r="G184" t="inlineStr">
        <is>
          <t>FALKÖPING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32191-2024</t>
        </is>
      </c>
      <c r="B185" t="inlineStr">
        <is>
          <t>avverkningsanmälan</t>
        </is>
      </c>
      <c r="C185" t="inlineStr">
        <is>
          <t>Föryngringsavverkning</t>
        </is>
      </c>
      <c r="D185" s="1" t="n">
        <v>45511</v>
      </c>
      <c r="E185" s="1" t="n">
        <v>46305</v>
      </c>
      <c r="F185" t="inlineStr">
        <is>
          <t>VÄSTRA GÖTALANDS LÄN</t>
        </is>
      </c>
      <c r="G185" t="inlineStr">
        <is>
          <t>FALKÖPING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32186-2024</t>
        </is>
      </c>
      <c r="B186" t="inlineStr">
        <is>
          <t>avverkningsanmälan</t>
        </is>
      </c>
      <c r="C186" t="inlineStr">
        <is>
          <t>Föryngringsavverkning</t>
        </is>
      </c>
      <c r="D186" s="1" t="n">
        <v>45511</v>
      </c>
      <c r="E186" s="1" t="n">
        <v>46305</v>
      </c>
      <c r="F186" t="inlineStr">
        <is>
          <t>VÄSTRA GÖTALANDS LÄN</t>
        </is>
      </c>
      <c r="G186" t="inlineStr">
        <is>
          <t>FALKÖPING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17445-2025</t>
        </is>
      </c>
      <c r="B187" t="inlineStr">
        <is>
          <t>avverkningsanmälan</t>
        </is>
      </c>
      <c r="C187" t="inlineStr">
        <is>
          <t>Föryngringsavverkning</t>
        </is>
      </c>
      <c r="D187" s="1" t="n">
        <v>45757</v>
      </c>
      <c r="E187" s="1" t="n">
        <v>46305</v>
      </c>
      <c r="F187" t="inlineStr">
        <is>
          <t>VÄSTRA GÖTALANDS LÄN</t>
        </is>
      </c>
      <c r="G187" t="inlineStr">
        <is>
          <t>FALKÖPING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39233-2024</t>
        </is>
      </c>
      <c r="B188" t="inlineStr">
        <is>
          <t>avverkningsanmälan</t>
        </is>
      </c>
      <c r="C188" t="inlineStr">
        <is>
          <t>Föryngringsavverkning</t>
        </is>
      </c>
      <c r="D188" s="1" t="n">
        <v>45550</v>
      </c>
      <c r="E188" s="1" t="n">
        <v>46305</v>
      </c>
      <c r="F188" t="inlineStr">
        <is>
          <t>VÄSTRA GÖTALANDS LÄN</t>
        </is>
      </c>
      <c r="G188" t="inlineStr">
        <is>
          <t>FALKÖPING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11280-2022</t>
        </is>
      </c>
      <c r="B189" t="inlineStr">
        <is>
          <t>avverkningsanmälan</t>
        </is>
      </c>
      <c r="C189" t="inlineStr">
        <is>
          <t>Föryngringsavverkning</t>
        </is>
      </c>
      <c r="D189" s="1" t="n">
        <v>44629</v>
      </c>
      <c r="E189" s="1" t="n">
        <v>46305</v>
      </c>
      <c r="F189" t="inlineStr">
        <is>
          <t>VÄSTRA GÖTALANDS LÄN</t>
        </is>
      </c>
      <c r="G189" t="inlineStr">
        <is>
          <t>FALKÖPING</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42416-2023</t>
        </is>
      </c>
      <c r="B190" t="inlineStr">
        <is>
          <t>avverkningsanmälan</t>
        </is>
      </c>
      <c r="C190" t="inlineStr">
        <is>
          <t>Föryngringsavverkning</t>
        </is>
      </c>
      <c r="D190" s="1" t="n">
        <v>45180</v>
      </c>
      <c r="E190" s="1" t="n">
        <v>46305</v>
      </c>
      <c r="F190" t="inlineStr">
        <is>
          <t>VÄSTRA GÖTALANDS LÄN</t>
        </is>
      </c>
      <c r="G190" t="inlineStr">
        <is>
          <t>FALKÖPING</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61857-2024</t>
        </is>
      </c>
      <c r="B191" t="inlineStr">
        <is>
          <t>avverkningsanmälan</t>
        </is>
      </c>
      <c r="C191" t="inlineStr">
        <is>
          <t>Föryngringsavverkning</t>
        </is>
      </c>
      <c r="D191" s="1" t="n">
        <v>45649</v>
      </c>
      <c r="E191" s="1" t="n">
        <v>46305</v>
      </c>
      <c r="F191" t="inlineStr">
        <is>
          <t>VÄSTRA GÖTALANDS LÄN</t>
        </is>
      </c>
      <c r="G191" t="inlineStr">
        <is>
          <t>FALKÖPING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11436-2022</t>
        </is>
      </c>
      <c r="B192" t="inlineStr">
        <is>
          <t>avverkningsanmälan</t>
        </is>
      </c>
      <c r="C192" t="inlineStr">
        <is>
          <t>Föryngringsavverkning</t>
        </is>
      </c>
      <c r="D192" s="1" t="n">
        <v>44630</v>
      </c>
      <c r="E192" s="1" t="n">
        <v>46305</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11440-2022</t>
        </is>
      </c>
      <c r="B193" t="inlineStr">
        <is>
          <t>avverkningsanmälan</t>
        </is>
      </c>
      <c r="C193" t="inlineStr">
        <is>
          <t>Föryngringsavverkning</t>
        </is>
      </c>
      <c r="D193" s="1" t="n">
        <v>44630</v>
      </c>
      <c r="E193" s="1" t="n">
        <v>46305</v>
      </c>
      <c r="F193" t="inlineStr">
        <is>
          <t>VÄSTRA GÖTALANDS LÄN</t>
        </is>
      </c>
      <c r="G193" t="inlineStr">
        <is>
          <t>FALKÖPING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55739-2024</t>
        </is>
      </c>
      <c r="B194" t="inlineStr">
        <is>
          <t>avverkningsanmälan</t>
        </is>
      </c>
      <c r="C194" t="inlineStr">
        <is>
          <t>Föryngringsavverkning</t>
        </is>
      </c>
      <c r="D194" s="1" t="n">
        <v>45623</v>
      </c>
      <c r="E194" s="1" t="n">
        <v>46305</v>
      </c>
      <c r="F194" t="inlineStr">
        <is>
          <t>VÄSTRA GÖTALANDS LÄN</t>
        </is>
      </c>
      <c r="G194" t="inlineStr">
        <is>
          <t>FALKÖPING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24384-2025</t>
        </is>
      </c>
      <c r="B195" t="inlineStr">
        <is>
          <t>avverkningsanmälan</t>
        </is>
      </c>
      <c r="C195" t="inlineStr">
        <is>
          <t>Föryngringsavverkning</t>
        </is>
      </c>
      <c r="D195" s="1" t="n">
        <v>45797</v>
      </c>
      <c r="E195" s="1" t="n">
        <v>46305</v>
      </c>
      <c r="F195" t="inlineStr">
        <is>
          <t>VÄSTRA GÖTALANDS LÄN</t>
        </is>
      </c>
      <c r="G195" t="inlineStr">
        <is>
          <t>FALKÖPING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59075-2024</t>
        </is>
      </c>
      <c r="B196" t="inlineStr">
        <is>
          <t>avverkningsanmälan</t>
        </is>
      </c>
      <c r="C196" t="inlineStr">
        <is>
          <t>Föryngringsavverkning</t>
        </is>
      </c>
      <c r="D196" s="1" t="n">
        <v>45637</v>
      </c>
      <c r="E196" s="1" t="n">
        <v>46305</v>
      </c>
      <c r="F196" t="inlineStr">
        <is>
          <t>VÄSTRA GÖTALANDS LÄN</t>
        </is>
      </c>
      <c r="G196" t="inlineStr">
        <is>
          <t>FALKÖPING</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24714-2023</t>
        </is>
      </c>
      <c r="B197" t="inlineStr">
        <is>
          <t>avverkningsanmälan</t>
        </is>
      </c>
      <c r="C197" t="inlineStr">
        <is>
          <t>Föryngringsavverkning</t>
        </is>
      </c>
      <c r="D197" s="1" t="n">
        <v>45084</v>
      </c>
      <c r="E197" s="1" t="n">
        <v>46305</v>
      </c>
      <c r="F197" t="inlineStr">
        <is>
          <t>VÄSTRA GÖTALANDS LÄN</t>
        </is>
      </c>
      <c r="G197" t="inlineStr">
        <is>
          <t>FALKÖPING</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48414-2025</t>
        </is>
      </c>
      <c r="B198" t="inlineStr">
        <is>
          <t>avverkningsanmälan</t>
        </is>
      </c>
      <c r="C198" t="inlineStr">
        <is>
          <t>Föryngringsavverkning</t>
        </is>
      </c>
      <c r="D198" s="1" t="n">
        <v>45934</v>
      </c>
      <c r="E198" s="1" t="n">
        <v>46305</v>
      </c>
      <c r="F198" t="inlineStr">
        <is>
          <t>VÄSTRA GÖTALANDS LÄN</t>
        </is>
      </c>
      <c r="G198" t="inlineStr">
        <is>
          <t>FALKÖPING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48415-2025</t>
        </is>
      </c>
      <c r="B199" t="inlineStr">
        <is>
          <t>avverkningsanmälan</t>
        </is>
      </c>
      <c r="C199" t="inlineStr">
        <is>
          <t>Föryngringsavverkning</t>
        </is>
      </c>
      <c r="D199" s="1" t="n">
        <v>45934</v>
      </c>
      <c r="E199" s="1" t="n">
        <v>46305</v>
      </c>
      <c r="F199" t="inlineStr">
        <is>
          <t>VÄSTRA GÖTALANDS LÄN</t>
        </is>
      </c>
      <c r="G199" t="inlineStr">
        <is>
          <t>FALKÖPING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48708-2025</t>
        </is>
      </c>
      <c r="B200" t="inlineStr">
        <is>
          <t>avverkningsanmälan</t>
        </is>
      </c>
      <c r="C200" t="inlineStr">
        <is>
          <t>Föryngringsavverkning</t>
        </is>
      </c>
      <c r="D200" s="1" t="n">
        <v>45936</v>
      </c>
      <c r="E200" s="1" t="n">
        <v>46305</v>
      </c>
      <c r="F200" t="inlineStr">
        <is>
          <t>VÄSTRA GÖTALANDS LÄN</t>
        </is>
      </c>
      <c r="G200" t="inlineStr">
        <is>
          <t>FALKÖPING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35939-2022</t>
        </is>
      </c>
      <c r="B201" t="inlineStr">
        <is>
          <t>avverkningsanmälan</t>
        </is>
      </c>
      <c r="C201" t="inlineStr">
        <is>
          <t>Avverkning för annat ändamål</t>
        </is>
      </c>
      <c r="D201" s="1" t="n">
        <v>44802</v>
      </c>
      <c r="E201" s="1" t="n">
        <v>46305</v>
      </c>
      <c r="F201" t="inlineStr">
        <is>
          <t>VÄSTRA GÖTALANDS LÄN</t>
        </is>
      </c>
      <c r="G201" t="inlineStr">
        <is>
          <t>FALKÖPING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10460-2024</t>
        </is>
      </c>
      <c r="B202" t="inlineStr">
        <is>
          <t>avverkningsanmälan</t>
        </is>
      </c>
      <c r="C202" t="inlineStr">
        <is>
          <t>Avverkning för annat ändamål</t>
        </is>
      </c>
      <c r="D202" s="1" t="n">
        <v>45366</v>
      </c>
      <c r="E202" s="1" t="n">
        <v>46305</v>
      </c>
      <c r="F202" t="inlineStr">
        <is>
          <t>VÄSTRA GÖTALANDS LÄN</t>
        </is>
      </c>
      <c r="G202" t="inlineStr">
        <is>
          <t>FALKÖPING</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57728-2024</t>
        </is>
      </c>
      <c r="B203" t="inlineStr">
        <is>
          <t>avverkningsanmälan</t>
        </is>
      </c>
      <c r="C203" t="inlineStr">
        <is>
          <t>Föryngringsavverkning</t>
        </is>
      </c>
      <c r="D203" s="1" t="n">
        <v>45630</v>
      </c>
      <c r="E203" s="1" t="n">
        <v>46305</v>
      </c>
      <c r="F203" t="inlineStr">
        <is>
          <t>VÄSTRA GÖTALANDS LÄN</t>
        </is>
      </c>
      <c r="G203" t="inlineStr">
        <is>
          <t>FALKÖPING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26122-2025</t>
        </is>
      </c>
      <c r="B204" t="inlineStr">
        <is>
          <t>avverkningsanmälan</t>
        </is>
      </c>
      <c r="C204" t="inlineStr">
        <is>
          <t>Avverkning för annat ändamål</t>
        </is>
      </c>
      <c r="D204" s="1" t="n">
        <v>45805</v>
      </c>
      <c r="E204" s="1" t="n">
        <v>46305</v>
      </c>
      <c r="F204" t="inlineStr">
        <is>
          <t>VÄSTRA GÖTALANDS LÄN</t>
        </is>
      </c>
      <c r="G204" t="inlineStr">
        <is>
          <t>FALKÖPING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13450-2022</t>
        </is>
      </c>
      <c r="B205" t="inlineStr">
        <is>
          <t>avverkningsanmälan</t>
        </is>
      </c>
      <c r="C205" t="inlineStr">
        <is>
          <t>Föryngringsavverkning</t>
        </is>
      </c>
      <c r="D205" s="1" t="n">
        <v>44645</v>
      </c>
      <c r="E205" s="1" t="n">
        <v>46305</v>
      </c>
      <c r="F205" t="inlineStr">
        <is>
          <t>VÄSTRA GÖTALANDS LÄN</t>
        </is>
      </c>
      <c r="G205" t="inlineStr">
        <is>
          <t>FALKÖPING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45667-2023</t>
        </is>
      </c>
      <c r="B206" t="inlineStr">
        <is>
          <t>avverkningsanmälan</t>
        </is>
      </c>
      <c r="C206" t="inlineStr">
        <is>
          <t>Föryngringsavverkning</t>
        </is>
      </c>
      <c r="D206" s="1" t="n">
        <v>45194</v>
      </c>
      <c r="E206" s="1" t="n">
        <v>46305</v>
      </c>
      <c r="F206" t="inlineStr">
        <is>
          <t>VÄSTRA GÖTALANDS LÄN</t>
        </is>
      </c>
      <c r="G206" t="inlineStr">
        <is>
          <t>FALKÖPING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1456-2022</t>
        </is>
      </c>
      <c r="B207" t="inlineStr">
        <is>
          <t>avverkningsanmälan</t>
        </is>
      </c>
      <c r="C207" t="inlineStr">
        <is>
          <t>Föryngringsavverkning</t>
        </is>
      </c>
      <c r="D207" s="1" t="n">
        <v>44573</v>
      </c>
      <c r="E207" s="1" t="n">
        <v>46305</v>
      </c>
      <c r="F207" t="inlineStr">
        <is>
          <t>VÄSTRA GÖTALANDS LÄN</t>
        </is>
      </c>
      <c r="G207" t="inlineStr">
        <is>
          <t>FALKÖPING</t>
        </is>
      </c>
      <c r="H207" t="inlineStr">
        <is>
          <t>Naturvårdsverket</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32205-2024</t>
        </is>
      </c>
      <c r="B208" t="inlineStr">
        <is>
          <t>avverkningsanmälan</t>
        </is>
      </c>
      <c r="C208" t="inlineStr">
        <is>
          <t>Föryngringsavverkning</t>
        </is>
      </c>
      <c r="D208" s="1" t="n">
        <v>45511</v>
      </c>
      <c r="E208" s="1" t="n">
        <v>46305</v>
      </c>
      <c r="F208" t="inlineStr">
        <is>
          <t>VÄSTRA GÖTALANDS LÄN</t>
        </is>
      </c>
      <c r="G208" t="inlineStr">
        <is>
          <t>FALKÖPING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28463-2023</t>
        </is>
      </c>
      <c r="B209" t="inlineStr">
        <is>
          <t>avverkningsanmälan</t>
        </is>
      </c>
      <c r="C209" t="inlineStr">
        <is>
          <t>Föryngringsavverkning</t>
        </is>
      </c>
      <c r="D209" s="1" t="n">
        <v>45103</v>
      </c>
      <c r="E209" s="1" t="n">
        <v>46305</v>
      </c>
      <c r="F209" t="inlineStr">
        <is>
          <t>VÄSTRA GÖTALANDS LÄN</t>
        </is>
      </c>
      <c r="G209" t="inlineStr">
        <is>
          <t>FALKÖPING</t>
        </is>
      </c>
      <c r="I209" t="n">
        <v>8.4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27350-2024</t>
        </is>
      </c>
      <c r="B210" t="inlineStr">
        <is>
          <t>avverkningsanmälan</t>
        </is>
      </c>
      <c r="C210" t="inlineStr">
        <is>
          <t>Föryngringsavverkning</t>
        </is>
      </c>
      <c r="D210" s="1" t="n">
        <v>45473</v>
      </c>
      <c r="E210" s="1" t="n">
        <v>46305</v>
      </c>
      <c r="F210" t="inlineStr">
        <is>
          <t>VÄSTRA GÖTALANDS LÄN</t>
        </is>
      </c>
      <c r="G210" t="inlineStr">
        <is>
          <t>FALKÖPING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26597-2025</t>
        </is>
      </c>
      <c r="B211" t="inlineStr">
        <is>
          <t>avverkningsanmälan</t>
        </is>
      </c>
      <c r="C211" t="inlineStr">
        <is>
          <t>Avverkning för annat ändamål</t>
        </is>
      </c>
      <c r="D211" s="1" t="n">
        <v>45808</v>
      </c>
      <c r="E211" s="1" t="n">
        <v>46305</v>
      </c>
      <c r="F211" t="inlineStr">
        <is>
          <t>VÄSTRA GÖTALANDS LÄN</t>
        </is>
      </c>
      <c r="G211" t="inlineStr">
        <is>
          <t>FALKÖPING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26598-2025</t>
        </is>
      </c>
      <c r="B212" t="inlineStr">
        <is>
          <t>avverkningsanmälan</t>
        </is>
      </c>
      <c r="C212" t="inlineStr">
        <is>
          <t>Föryngringsavverkning</t>
        </is>
      </c>
      <c r="D212" s="1" t="n">
        <v>45808</v>
      </c>
      <c r="E212" s="1" t="n">
        <v>46305</v>
      </c>
      <c r="F212" t="inlineStr">
        <is>
          <t>VÄSTRA GÖTALANDS LÄN</t>
        </is>
      </c>
      <c r="G212" t="inlineStr">
        <is>
          <t>FALKÖPING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3200-2025</t>
        </is>
      </c>
      <c r="B213" t="inlineStr">
        <is>
          <t>avverkningsanmälan</t>
        </is>
      </c>
      <c r="C213" t="inlineStr">
        <is>
          <t>Föryngringsavverkning</t>
        </is>
      </c>
      <c r="D213" s="1" t="n">
        <v>45679</v>
      </c>
      <c r="E213" s="1" t="n">
        <v>46305</v>
      </c>
      <c r="F213" t="inlineStr">
        <is>
          <t>VÄSTRA GÖTALANDS LÄN</t>
        </is>
      </c>
      <c r="G213" t="inlineStr">
        <is>
          <t>FALKÖPING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49824-2025</t>
        </is>
      </c>
      <c r="B214" t="inlineStr">
        <is>
          <t>avverkningsanmälan</t>
        </is>
      </c>
      <c r="C214" t="inlineStr">
        <is>
          <t>Föryngringsavverkning</t>
        </is>
      </c>
      <c r="D214" s="1" t="n">
        <v>45940</v>
      </c>
      <c r="E214" s="1" t="n">
        <v>46305</v>
      </c>
      <c r="F214" t="inlineStr">
        <is>
          <t>VÄSTRA GÖTALANDS LÄN</t>
        </is>
      </c>
      <c r="G214" t="inlineStr">
        <is>
          <t>FALKÖPING</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8326-2023</t>
        </is>
      </c>
      <c r="B215" t="inlineStr">
        <is>
          <t>avverkningsanmälan</t>
        </is>
      </c>
      <c r="C215" t="inlineStr">
        <is>
          <t>Föryngringsavverkning</t>
        </is>
      </c>
      <c r="D215" s="1" t="n">
        <v>44974</v>
      </c>
      <c r="E215" s="1" t="n">
        <v>46305</v>
      </c>
      <c r="F215" t="inlineStr">
        <is>
          <t>VÄSTRA GÖTALANDS LÄN</t>
        </is>
      </c>
      <c r="G215" t="inlineStr">
        <is>
          <t>FALKÖPING</t>
        </is>
      </c>
      <c r="I215" t="n">
        <v>19.4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39854-2024</t>
        </is>
      </c>
      <c r="B216" t="inlineStr">
        <is>
          <t>avverkningsanmälan</t>
        </is>
      </c>
      <c r="C216" t="inlineStr">
        <is>
          <t>Föryngringsavverkning</t>
        </is>
      </c>
      <c r="D216" s="1" t="n">
        <v>45553</v>
      </c>
      <c r="E216" s="1" t="n">
        <v>46305</v>
      </c>
      <c r="F216" t="inlineStr">
        <is>
          <t>VÄSTRA GÖTALANDS LÄN</t>
        </is>
      </c>
      <c r="G216" t="inlineStr">
        <is>
          <t>FALKÖPING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57412-2024</t>
        </is>
      </c>
      <c r="B217" t="inlineStr">
        <is>
          <t>avverkningsanmälan</t>
        </is>
      </c>
      <c r="C217" t="inlineStr">
        <is>
          <t>Föryngringsavverkning</t>
        </is>
      </c>
      <c r="D217" s="1" t="n">
        <v>45629</v>
      </c>
      <c r="E217" s="1" t="n">
        <v>46305</v>
      </c>
      <c r="F217" t="inlineStr">
        <is>
          <t>VÄSTRA GÖTALANDS LÄN</t>
        </is>
      </c>
      <c r="G217" t="inlineStr">
        <is>
          <t>FALKÖPING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27792-2025</t>
        </is>
      </c>
      <c r="B218" t="inlineStr">
        <is>
          <t>avverkningsanmälan</t>
        </is>
      </c>
      <c r="C218" t="inlineStr">
        <is>
          <t>Föryngringsavverkning</t>
        </is>
      </c>
      <c r="D218" s="1" t="n">
        <v>45816</v>
      </c>
      <c r="E218" s="1" t="n">
        <v>46305</v>
      </c>
      <c r="F218" t="inlineStr">
        <is>
          <t>VÄSTRA GÖTALANDS LÄN</t>
        </is>
      </c>
      <c r="G218" t="inlineStr">
        <is>
          <t>FALKÖPING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14407-2025</t>
        </is>
      </c>
      <c r="B219" t="inlineStr">
        <is>
          <t>avverkningsanmälan</t>
        </is>
      </c>
      <c r="C219" t="inlineStr">
        <is>
          <t>Föryngringsavverkning</t>
        </is>
      </c>
      <c r="D219" s="1" t="n">
        <v>45741</v>
      </c>
      <c r="E219" s="1" t="n">
        <v>46305</v>
      </c>
      <c r="F219" t="inlineStr">
        <is>
          <t>VÄSTRA GÖTALANDS LÄN</t>
        </is>
      </c>
      <c r="G219" t="inlineStr">
        <is>
          <t>FALKÖPING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35819-2023</t>
        </is>
      </c>
      <c r="B220" t="inlineStr">
        <is>
          <t>avverkningsanmälan</t>
        </is>
      </c>
      <c r="C220" t="inlineStr">
        <is>
          <t>Föryngringsavverkning</t>
        </is>
      </c>
      <c r="D220" s="1" t="n">
        <v>45148</v>
      </c>
      <c r="E220" s="1" t="n">
        <v>46305</v>
      </c>
      <c r="F220" t="inlineStr">
        <is>
          <t>VÄSTRA GÖTALANDS LÄN</t>
        </is>
      </c>
      <c r="G220" t="inlineStr">
        <is>
          <t>FALKÖPING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51029-2025</t>
        </is>
      </c>
      <c r="B221" t="inlineStr">
        <is>
          <t>avverkningsanmälan</t>
        </is>
      </c>
      <c r="C221" t="inlineStr">
        <is>
          <t>Föryngringsavverkning</t>
        </is>
      </c>
      <c r="D221" s="1" t="n">
        <v>45947</v>
      </c>
      <c r="E221" s="1" t="n">
        <v>46305</v>
      </c>
      <c r="F221" t="inlineStr">
        <is>
          <t>VÄSTRA GÖTALANDS LÄN</t>
        </is>
      </c>
      <c r="G221" t="inlineStr">
        <is>
          <t>FALKÖPING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10429-2022</t>
        </is>
      </c>
      <c r="B222" t="inlineStr">
        <is>
          <t>avverkningsanmälan</t>
        </is>
      </c>
      <c r="C222" t="inlineStr">
        <is>
          <t>Föryngringsavverkning</t>
        </is>
      </c>
      <c r="D222" s="1" t="n">
        <v>44623</v>
      </c>
      <c r="E222" s="1" t="n">
        <v>46305</v>
      </c>
      <c r="F222" t="inlineStr">
        <is>
          <t>VÄSTRA GÖTALANDS LÄN</t>
        </is>
      </c>
      <c r="G222" t="inlineStr">
        <is>
          <t>FALKÖPING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22479-2022</t>
        </is>
      </c>
      <c r="B223" t="inlineStr">
        <is>
          <t>avverkningsanmälan</t>
        </is>
      </c>
      <c r="C223" t="inlineStr">
        <is>
          <t>Föryngringsavverkning</t>
        </is>
      </c>
      <c r="D223" s="1" t="n">
        <v>44713</v>
      </c>
      <c r="E223" s="1" t="n">
        <v>46305</v>
      </c>
      <c r="F223" t="inlineStr">
        <is>
          <t>VÄSTRA GÖTALANDS LÄN</t>
        </is>
      </c>
      <c r="G223" t="inlineStr">
        <is>
          <t>FALKÖPING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5702-2025</t>
        </is>
      </c>
      <c r="B224" t="inlineStr">
        <is>
          <t>avverkningsanmälan</t>
        </is>
      </c>
      <c r="C224" t="inlineStr">
        <is>
          <t>Föryngringsavverkning</t>
        </is>
      </c>
      <c r="D224" s="1" t="n">
        <v>45694</v>
      </c>
      <c r="E224" s="1" t="n">
        <v>46305</v>
      </c>
      <c r="F224" t="inlineStr">
        <is>
          <t>VÄSTRA GÖTALANDS LÄN</t>
        </is>
      </c>
      <c r="G224" t="inlineStr">
        <is>
          <t>FALKÖPING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11773-2025</t>
        </is>
      </c>
      <c r="B225" t="inlineStr">
        <is>
          <t>avverkningsanmälan</t>
        </is>
      </c>
      <c r="C225" t="inlineStr">
        <is>
          <t>Avverkning för annat ändamål</t>
        </is>
      </c>
      <c r="D225" s="1" t="n">
        <v>45727</v>
      </c>
      <c r="E225" s="1" t="n">
        <v>46305</v>
      </c>
      <c r="F225" t="inlineStr">
        <is>
          <t>VÄSTRA GÖTALANDS LÄN</t>
        </is>
      </c>
      <c r="G225" t="inlineStr">
        <is>
          <t>FALKÖPING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52420-2024</t>
        </is>
      </c>
      <c r="B226" t="inlineStr">
        <is>
          <t>avverkningsanmälan</t>
        </is>
      </c>
      <c r="C226" t="inlineStr">
        <is>
          <t>Föryngringsavverkning</t>
        </is>
      </c>
      <c r="D226" s="1" t="n">
        <v>45609</v>
      </c>
      <c r="E226" s="1" t="n">
        <v>46305</v>
      </c>
      <c r="F226" t="inlineStr">
        <is>
          <t>VÄSTRA GÖTALANDS LÄN</t>
        </is>
      </c>
      <c r="G226" t="inlineStr">
        <is>
          <t>FALKÖPING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36798-2023</t>
        </is>
      </c>
      <c r="B227" t="inlineStr">
        <is>
          <t>avverkningsanmälan</t>
        </is>
      </c>
      <c r="C227" t="inlineStr">
        <is>
          <t>Föryngringsavverkning</t>
        </is>
      </c>
      <c r="D227" s="1" t="n">
        <v>45154</v>
      </c>
      <c r="E227" s="1" t="n">
        <v>46305</v>
      </c>
      <c r="F227" t="inlineStr">
        <is>
          <t>VÄSTRA GÖTALANDS LÄN</t>
        </is>
      </c>
      <c r="G227" t="inlineStr">
        <is>
          <t>FALKÖPING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4301-2025</t>
        </is>
      </c>
      <c r="B228" t="inlineStr">
        <is>
          <t>avverkningsanmälan</t>
        </is>
      </c>
      <c r="C228" t="inlineStr">
        <is>
          <t>Föryngringsavverkning</t>
        </is>
      </c>
      <c r="D228" s="1" t="n">
        <v>45685</v>
      </c>
      <c r="E228" s="1" t="n">
        <v>46305</v>
      </c>
      <c r="F228" t="inlineStr">
        <is>
          <t>VÄSTRA GÖTALANDS LÄN</t>
        </is>
      </c>
      <c r="G228" t="inlineStr">
        <is>
          <t>FALKÖPING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24869-2023</t>
        </is>
      </c>
      <c r="B229" t="inlineStr">
        <is>
          <t>avverkningsanmälan</t>
        </is>
      </c>
      <c r="C229" t="inlineStr">
        <is>
          <t>Föryngringsavverkning</t>
        </is>
      </c>
      <c r="D229" s="1" t="n">
        <v>45085</v>
      </c>
      <c r="E229" s="1" t="n">
        <v>46305</v>
      </c>
      <c r="F229" t="inlineStr">
        <is>
          <t>VÄSTRA GÖTALANDS LÄN</t>
        </is>
      </c>
      <c r="G229" t="inlineStr">
        <is>
          <t>FALKÖPING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61053-2021</t>
        </is>
      </c>
      <c r="B230" t="inlineStr">
        <is>
          <t>avverkningsanmälan</t>
        </is>
      </c>
      <c r="C230" t="inlineStr">
        <is>
          <t>Föryngringsavverkning</t>
        </is>
      </c>
      <c r="D230" s="1" t="n">
        <v>44497</v>
      </c>
      <c r="E230" s="1" t="n">
        <v>46305</v>
      </c>
      <c r="F230" t="inlineStr">
        <is>
          <t>VÄSTRA GÖTALANDS LÄN</t>
        </is>
      </c>
      <c r="G230" t="inlineStr">
        <is>
          <t>FALKÖPING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3461-2023</t>
        </is>
      </c>
      <c r="B231" t="inlineStr">
        <is>
          <t>avverkningsanmälan</t>
        </is>
      </c>
      <c r="C231" t="inlineStr">
        <is>
          <t>Föryngringsavverkning</t>
        </is>
      </c>
      <c r="D231" s="1" t="n">
        <v>44949</v>
      </c>
      <c r="E231" s="1" t="n">
        <v>46305</v>
      </c>
      <c r="F231" t="inlineStr">
        <is>
          <t>VÄSTRA GÖTALANDS LÄN</t>
        </is>
      </c>
      <c r="G231" t="inlineStr">
        <is>
          <t>FALKÖPING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6729-2025</t>
        </is>
      </c>
      <c r="B232" t="inlineStr">
        <is>
          <t>avverkningsanmälan</t>
        </is>
      </c>
      <c r="C232" t="inlineStr">
        <is>
          <t>Föryngringsavverkning</t>
        </is>
      </c>
      <c r="D232" s="1" t="n">
        <v>45700</v>
      </c>
      <c r="E232" s="1" t="n">
        <v>46305</v>
      </c>
      <c r="F232" t="inlineStr">
        <is>
          <t>VÄSTRA GÖTALANDS LÄN</t>
        </is>
      </c>
      <c r="G232" t="inlineStr">
        <is>
          <t>FALKÖPING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17260-2024</t>
        </is>
      </c>
      <c r="B233" t="inlineStr">
        <is>
          <t>avverkningsanmälan</t>
        </is>
      </c>
      <c r="C233" t="inlineStr">
        <is>
          <t>Föryngringsavverkning</t>
        </is>
      </c>
      <c r="D233" s="1" t="n">
        <v>45414</v>
      </c>
      <c r="E233" s="1" t="n">
        <v>46305</v>
      </c>
      <c r="F233" t="inlineStr">
        <is>
          <t>VÄSTRA GÖTALANDS LÄN</t>
        </is>
      </c>
      <c r="G233" t="inlineStr">
        <is>
          <t>FALKÖPING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68660-2021</t>
        </is>
      </c>
      <c r="B234" t="inlineStr">
        <is>
          <t>avverkningsanmälan</t>
        </is>
      </c>
      <c r="C234" t="inlineStr">
        <is>
          <t>Avverkning för annat ändamål</t>
        </is>
      </c>
      <c r="D234" s="1" t="n">
        <v>44529</v>
      </c>
      <c r="E234" s="1" t="n">
        <v>46305</v>
      </c>
      <c r="F234" t="inlineStr">
        <is>
          <t>VÄSTRA GÖTALANDS LÄN</t>
        </is>
      </c>
      <c r="G234" t="inlineStr">
        <is>
          <t>FALKÖPING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53159-2025</t>
        </is>
      </c>
      <c r="B235" t="inlineStr">
        <is>
          <t>avverkningsanmälan</t>
        </is>
      </c>
      <c r="C235" t="inlineStr">
        <is>
          <t>Föryngringsavverkning</t>
        </is>
      </c>
      <c r="D235" s="1" t="n">
        <v>45958</v>
      </c>
      <c r="E235" s="1" t="n">
        <v>46305</v>
      </c>
      <c r="F235" t="inlineStr">
        <is>
          <t>VÄSTRA GÖTALANDS LÄN</t>
        </is>
      </c>
      <c r="G235" t="inlineStr">
        <is>
          <t>FALKÖPING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53379-2025</t>
        </is>
      </c>
      <c r="B236" t="inlineStr">
        <is>
          <t>avverkningsanmälan</t>
        </is>
      </c>
      <c r="C236" t="inlineStr">
        <is>
          <t>Föryngringsavverkning</t>
        </is>
      </c>
      <c r="D236" s="1" t="n">
        <v>45959</v>
      </c>
      <c r="E236" s="1" t="n">
        <v>46305</v>
      </c>
      <c r="F236" t="inlineStr">
        <is>
          <t>VÄSTRA GÖTALANDS LÄN</t>
        </is>
      </c>
      <c r="G236" t="inlineStr">
        <is>
          <t>FALKÖPING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23710-2024</t>
        </is>
      </c>
      <c r="B237" t="inlineStr">
        <is>
          <t>avverkningsanmälan</t>
        </is>
      </c>
      <c r="C237" t="inlineStr">
        <is>
          <t>Föryngringsavverkning</t>
        </is>
      </c>
      <c r="D237" s="1" t="n">
        <v>45454</v>
      </c>
      <c r="E237" s="1" t="n">
        <v>46305</v>
      </c>
      <c r="F237" t="inlineStr">
        <is>
          <t>VÄSTRA GÖTALANDS LÄN</t>
        </is>
      </c>
      <c r="G237" t="inlineStr">
        <is>
          <t>FALKÖPING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1388-2024</t>
        </is>
      </c>
      <c r="B238" t="inlineStr">
        <is>
          <t>avverkningsanmälan</t>
        </is>
      </c>
      <c r="C238" t="inlineStr">
        <is>
          <t>Föryngringsavverkning</t>
        </is>
      </c>
      <c r="D238" s="1" t="n">
        <v>45303</v>
      </c>
      <c r="E238" s="1" t="n">
        <v>46305</v>
      </c>
      <c r="F238" t="inlineStr">
        <is>
          <t>VÄSTRA GÖTALANDS LÄN</t>
        </is>
      </c>
      <c r="G238" t="inlineStr">
        <is>
          <t>FALKÖPING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46843-2023</t>
        </is>
      </c>
      <c r="B239" t="inlineStr">
        <is>
          <t>avverkningsanmälan</t>
        </is>
      </c>
      <c r="C239" t="inlineStr">
        <is>
          <t>Föryngringsavverkning</t>
        </is>
      </c>
      <c r="D239" s="1" t="n">
        <v>45199</v>
      </c>
      <c r="E239" s="1" t="n">
        <v>46305</v>
      </c>
      <c r="F239" t="inlineStr">
        <is>
          <t>VÄSTRA GÖTALANDS LÄN</t>
        </is>
      </c>
      <c r="G239" t="inlineStr">
        <is>
          <t>FALKÖPING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31611-2025</t>
        </is>
      </c>
      <c r="B240" t="inlineStr">
        <is>
          <t>avverkningsanmälan</t>
        </is>
      </c>
      <c r="C240" t="inlineStr">
        <is>
          <t>Föryngringsavverkning</t>
        </is>
      </c>
      <c r="D240" s="1" t="n">
        <v>45833</v>
      </c>
      <c r="E240" s="1" t="n">
        <v>46305</v>
      </c>
      <c r="F240" t="inlineStr">
        <is>
          <t>VÄSTRA GÖTALANDS LÄN</t>
        </is>
      </c>
      <c r="G240" t="inlineStr">
        <is>
          <t>FALKÖPING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55013-2023</t>
        </is>
      </c>
      <c r="B241" t="inlineStr">
        <is>
          <t>avverkningsanmälan</t>
        </is>
      </c>
      <c r="C241" t="inlineStr">
        <is>
          <t>Föryngringsavverkning</t>
        </is>
      </c>
      <c r="D241" s="1" t="n">
        <v>45237</v>
      </c>
      <c r="E241" s="1" t="n">
        <v>46305</v>
      </c>
      <c r="F241" t="inlineStr">
        <is>
          <t>VÄSTRA GÖTALANDS LÄN</t>
        </is>
      </c>
      <c r="G241" t="inlineStr">
        <is>
          <t>FALKÖPING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38320-2023</t>
        </is>
      </c>
      <c r="B242" t="inlineStr">
        <is>
          <t>avverkningsanmälan</t>
        </is>
      </c>
      <c r="C242" t="inlineStr">
        <is>
          <t>Föryngringsavverkning</t>
        </is>
      </c>
      <c r="D242" s="1" t="n">
        <v>45161</v>
      </c>
      <c r="E242" s="1" t="n">
        <v>46305</v>
      </c>
      <c r="F242" t="inlineStr">
        <is>
          <t>VÄSTRA GÖTALANDS LÄN</t>
        </is>
      </c>
      <c r="G242" t="inlineStr">
        <is>
          <t>FALKÖPING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58706-2023</t>
        </is>
      </c>
      <c r="B243" t="inlineStr">
        <is>
          <t>avverkningsanmälan</t>
        </is>
      </c>
      <c r="C243" t="inlineStr">
        <is>
          <t>Föryngringsavverkning</t>
        </is>
      </c>
      <c r="D243" s="1" t="n">
        <v>45251</v>
      </c>
      <c r="E243" s="1" t="n">
        <v>46305</v>
      </c>
      <c r="F243" t="inlineStr">
        <is>
          <t>VÄSTRA GÖTALANDS LÄN</t>
        </is>
      </c>
      <c r="G243" t="inlineStr">
        <is>
          <t>FALKÖPING</t>
        </is>
      </c>
      <c r="I243" t="n">
        <v>8.800000000000001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4711-2025</t>
        </is>
      </c>
      <c r="B244" t="inlineStr">
        <is>
          <t>avverkningsanmälan</t>
        </is>
      </c>
      <c r="C244" t="inlineStr">
        <is>
          <t>Avverkning för annat ändamål</t>
        </is>
      </c>
      <c r="D244" s="1" t="n">
        <v>45688</v>
      </c>
      <c r="E244" s="1" t="n">
        <v>46305</v>
      </c>
      <c r="F244" t="inlineStr">
        <is>
          <t>VÄSTRA GÖTALANDS LÄN</t>
        </is>
      </c>
      <c r="G244" t="inlineStr">
        <is>
          <t>FALKÖPING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54206-2025</t>
        </is>
      </c>
      <c r="B245" t="inlineStr">
        <is>
          <t>avverkningsanmälan</t>
        </is>
      </c>
      <c r="C245" t="inlineStr">
        <is>
          <t>Föryngringsavverkning</t>
        </is>
      </c>
      <c r="D245" s="1" t="n">
        <v>45964</v>
      </c>
      <c r="E245" s="1" t="n">
        <v>46305</v>
      </c>
      <c r="F245" t="inlineStr">
        <is>
          <t>VÄSTRA GÖTALANDS LÄN</t>
        </is>
      </c>
      <c r="G245" t="inlineStr">
        <is>
          <t>FALKÖPING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16661-2022</t>
        </is>
      </c>
      <c r="B246" t="inlineStr">
        <is>
          <t>avverkningsanmälan</t>
        </is>
      </c>
      <c r="C246" t="inlineStr">
        <is>
          <t>Föryngringsavverkning</t>
        </is>
      </c>
      <c r="D246" s="1" t="n">
        <v>44672</v>
      </c>
      <c r="E246" s="1" t="n">
        <v>46305</v>
      </c>
      <c r="F246" t="inlineStr">
        <is>
          <t>VÄSTRA GÖTALANDS LÄN</t>
        </is>
      </c>
      <c r="G246" t="inlineStr">
        <is>
          <t>FALKÖPING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54102-2024</t>
        </is>
      </c>
      <c r="B247" t="inlineStr">
        <is>
          <t>avverkningsanmälan</t>
        </is>
      </c>
      <c r="C247" t="inlineStr">
        <is>
          <t>Föryngringsavverkning</t>
        </is>
      </c>
      <c r="D247" s="1" t="n">
        <v>45616</v>
      </c>
      <c r="E247" s="1" t="n">
        <v>46305</v>
      </c>
      <c r="F247" t="inlineStr">
        <is>
          <t>VÄSTRA GÖTALANDS LÄN</t>
        </is>
      </c>
      <c r="G247" t="inlineStr">
        <is>
          <t>FALKÖPING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46312-2023</t>
        </is>
      </c>
      <c r="B248" t="inlineStr">
        <is>
          <t>avverkningsanmälan</t>
        </is>
      </c>
      <c r="C248" t="inlineStr">
        <is>
          <t>Föryngringsavverkning</t>
        </is>
      </c>
      <c r="D248" s="1" t="n">
        <v>45197</v>
      </c>
      <c r="E248" s="1" t="n">
        <v>46305</v>
      </c>
      <c r="F248" t="inlineStr">
        <is>
          <t>VÄSTRA GÖTALANDS LÄN</t>
        </is>
      </c>
      <c r="G248" t="inlineStr">
        <is>
          <t>FALKÖPING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48660-2024</t>
        </is>
      </c>
      <c r="B249" t="inlineStr">
        <is>
          <t>avverkningsanmälan</t>
        </is>
      </c>
      <c r="C249" t="inlineStr">
        <is>
          <t>Föryngringsavverkning</t>
        </is>
      </c>
      <c r="D249" s="1" t="n">
        <v>45593</v>
      </c>
      <c r="E249" s="1" t="n">
        <v>46305</v>
      </c>
      <c r="F249" t="inlineStr">
        <is>
          <t>VÄSTRA GÖTALANDS LÄN</t>
        </is>
      </c>
      <c r="G249" t="inlineStr">
        <is>
          <t>FALKÖPING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6750-2024</t>
        </is>
      </c>
      <c r="B250" t="inlineStr">
        <is>
          <t>avverkningsanmälan</t>
        </is>
      </c>
      <c r="C250" t="inlineStr">
        <is>
          <t>Föryngringsavverkning</t>
        </is>
      </c>
      <c r="D250" s="1" t="n">
        <v>45342</v>
      </c>
      <c r="E250" s="1" t="n">
        <v>46305</v>
      </c>
      <c r="F250" t="inlineStr">
        <is>
          <t>VÄSTRA GÖTALANDS LÄN</t>
        </is>
      </c>
      <c r="G250" t="inlineStr">
        <is>
          <t>FALKÖPING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1796-2024</t>
        </is>
      </c>
      <c r="B251" t="inlineStr">
        <is>
          <t>avverkningsanmälan</t>
        </is>
      </c>
      <c r="C251" t="inlineStr">
        <is>
          <t>Föryngringsavverkning</t>
        </is>
      </c>
      <c r="D251" s="1" t="n">
        <v>45307</v>
      </c>
      <c r="E251" s="1" t="n">
        <v>46305</v>
      </c>
      <c r="F251" t="inlineStr">
        <is>
          <t>VÄSTRA GÖTALANDS LÄN</t>
        </is>
      </c>
      <c r="G251" t="inlineStr">
        <is>
          <t>FALKÖPING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50178-2024</t>
        </is>
      </c>
      <c r="B252" t="inlineStr">
        <is>
          <t>avverkningsanmälan</t>
        </is>
      </c>
      <c r="C252" t="inlineStr">
        <is>
          <t>Avverkning för annat ändamål</t>
        </is>
      </c>
      <c r="D252" s="1" t="n">
        <v>45600</v>
      </c>
      <c r="E252" s="1" t="n">
        <v>46305</v>
      </c>
      <c r="F252" t="inlineStr">
        <is>
          <t>VÄSTRA GÖTALANDS LÄN</t>
        </is>
      </c>
      <c r="G252" t="inlineStr">
        <is>
          <t>FALKÖPING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57923-2023</t>
        </is>
      </c>
      <c r="B253" t="inlineStr">
        <is>
          <t>avverkningsanmälan</t>
        </is>
      </c>
      <c r="C253" t="inlineStr">
        <is>
          <t>Föryngringsavverkning</t>
        </is>
      </c>
      <c r="D253" s="1" t="n">
        <v>45244</v>
      </c>
      <c r="E253" s="1" t="n">
        <v>46305</v>
      </c>
      <c r="F253" t="inlineStr">
        <is>
          <t>VÄSTRA GÖTALANDS LÄN</t>
        </is>
      </c>
      <c r="G253" t="inlineStr">
        <is>
          <t>FALKÖPING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54100-2024</t>
        </is>
      </c>
      <c r="B254" t="inlineStr">
        <is>
          <t>avverkningsanmälan</t>
        </is>
      </c>
      <c r="C254" t="inlineStr">
        <is>
          <t>Föryngringsavverkning</t>
        </is>
      </c>
      <c r="D254" s="1" t="n">
        <v>45616</v>
      </c>
      <c r="E254" s="1" t="n">
        <v>46305</v>
      </c>
      <c r="F254" t="inlineStr">
        <is>
          <t>VÄSTRA GÖTALANDS LÄN</t>
        </is>
      </c>
      <c r="G254" t="inlineStr">
        <is>
          <t>FALKÖPING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50400-2024</t>
        </is>
      </c>
      <c r="B255" t="inlineStr">
        <is>
          <t>avverkningsanmälan</t>
        </is>
      </c>
      <c r="C255" t="inlineStr">
        <is>
          <t>Avverkning för annat ändamål</t>
        </is>
      </c>
      <c r="D255" s="1" t="n">
        <v>45601</v>
      </c>
      <c r="E255" s="1" t="n">
        <v>46305</v>
      </c>
      <c r="F255" t="inlineStr">
        <is>
          <t>VÄSTRA GÖTALANDS LÄN</t>
        </is>
      </c>
      <c r="G255" t="inlineStr">
        <is>
          <t>FALKÖPING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3948-2023</t>
        </is>
      </c>
      <c r="B256" t="inlineStr">
        <is>
          <t>avverkningsanmälan</t>
        </is>
      </c>
      <c r="C256" t="inlineStr">
        <is>
          <t>Avverkning för annat ändamål</t>
        </is>
      </c>
      <c r="D256" s="1" t="n">
        <v>44952</v>
      </c>
      <c r="E256" s="1" t="n">
        <v>46305</v>
      </c>
      <c r="F256" t="inlineStr">
        <is>
          <t>VÄSTRA GÖTALANDS LÄN</t>
        </is>
      </c>
      <c r="G256" t="inlineStr">
        <is>
          <t>FALKÖPING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58257-2023</t>
        </is>
      </c>
      <c r="B257" t="inlineStr">
        <is>
          <t>avverkningsanmälan</t>
        </is>
      </c>
      <c r="C257" t="inlineStr">
        <is>
          <t>Föryngringsavverkning</t>
        </is>
      </c>
      <c r="D257" s="1" t="n">
        <v>45250</v>
      </c>
      <c r="E257" s="1" t="n">
        <v>46305</v>
      </c>
      <c r="F257" t="inlineStr">
        <is>
          <t>VÄSTRA GÖTALANDS LÄN</t>
        </is>
      </c>
      <c r="G257" t="inlineStr">
        <is>
          <t>FALKÖPING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48681-2024</t>
        </is>
      </c>
      <c r="B258" t="inlineStr">
        <is>
          <t>avverkningsanmälan</t>
        </is>
      </c>
      <c r="C258" t="inlineStr">
        <is>
          <t>Föryngringsavverkning</t>
        </is>
      </c>
      <c r="D258" s="1" t="n">
        <v>45593</v>
      </c>
      <c r="E258" s="1" t="n">
        <v>46305</v>
      </c>
      <c r="F258" t="inlineStr">
        <is>
          <t>VÄSTRA GÖTALANDS LÄN</t>
        </is>
      </c>
      <c r="G258" t="inlineStr">
        <is>
          <t>FALKÖPING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11525-2025</t>
        </is>
      </c>
      <c r="B259" t="inlineStr">
        <is>
          <t>avverkningsanmälan</t>
        </is>
      </c>
      <c r="C259" t="inlineStr">
        <is>
          <t>Föryngringsavverkning</t>
        </is>
      </c>
      <c r="D259" s="1" t="n">
        <v>45727</v>
      </c>
      <c r="E259" s="1" t="n">
        <v>46305</v>
      </c>
      <c r="F259" t="inlineStr">
        <is>
          <t>VÄSTRA GÖTALANDS LÄN</t>
        </is>
      </c>
      <c r="G259" t="inlineStr">
        <is>
          <t>FALKÖPING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21161-2022</t>
        </is>
      </c>
      <c r="B260" t="inlineStr">
        <is>
          <t>avverkningsanmälan</t>
        </is>
      </c>
      <c r="C260" t="inlineStr">
        <is>
          <t>Föryngringsavverkning</t>
        </is>
      </c>
      <c r="D260" s="1" t="n">
        <v>44704</v>
      </c>
      <c r="E260" s="1" t="n">
        <v>46305</v>
      </c>
      <c r="F260" t="inlineStr">
        <is>
          <t>VÄSTRA GÖTALANDS LÄN</t>
        </is>
      </c>
      <c r="G260" t="inlineStr">
        <is>
          <t>FALKÖPING</t>
        </is>
      </c>
      <c r="I260" t="n">
        <v>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11502-2025</t>
        </is>
      </c>
      <c r="B261" t="inlineStr">
        <is>
          <t>avverkningsanmälan</t>
        </is>
      </c>
      <c r="C261" t="inlineStr">
        <is>
          <t>Föryngringsavverkning</t>
        </is>
      </c>
      <c r="D261" s="1" t="n">
        <v>45726</v>
      </c>
      <c r="E261" s="1" t="n">
        <v>46305</v>
      </c>
      <c r="F261" t="inlineStr">
        <is>
          <t>VÄSTRA GÖTALANDS LÄN</t>
        </is>
      </c>
      <c r="G261" t="inlineStr">
        <is>
          <t>FALKÖPING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36911-2022</t>
        </is>
      </c>
      <c r="B262" t="inlineStr">
        <is>
          <t>avverkningsanmälan</t>
        </is>
      </c>
      <c r="C262" t="inlineStr">
        <is>
          <t>Föryngringsavverkning</t>
        </is>
      </c>
      <c r="D262" s="1" t="n">
        <v>44805</v>
      </c>
      <c r="E262" s="1" t="n">
        <v>46305</v>
      </c>
      <c r="F262" t="inlineStr">
        <is>
          <t>VÄSTRA GÖTALANDS LÄN</t>
        </is>
      </c>
      <c r="G262" t="inlineStr">
        <is>
          <t>FALKÖPING</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36181-2025</t>
        </is>
      </c>
      <c r="B263" t="inlineStr">
        <is>
          <t>avverkningsanmälan</t>
        </is>
      </c>
      <c r="C263" t="inlineStr">
        <is>
          <t>Avverkning för annat ändamål</t>
        </is>
      </c>
      <c r="D263" s="1" t="n">
        <v>45867</v>
      </c>
      <c r="E263" s="1" t="n">
        <v>46305</v>
      </c>
      <c r="F263" t="inlineStr">
        <is>
          <t>VÄSTRA GÖTALANDS LÄN</t>
        </is>
      </c>
      <c r="G263" t="inlineStr">
        <is>
          <t>FALKÖPING</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36628-2025</t>
        </is>
      </c>
      <c r="B264" t="inlineStr">
        <is>
          <t>avverkningsanmälan</t>
        </is>
      </c>
      <c r="C264" t="inlineStr">
        <is>
          <t>Föryngringsavverkning</t>
        </is>
      </c>
      <c r="D264" s="1" t="n">
        <v>45870</v>
      </c>
      <c r="E264" s="1" t="n">
        <v>46305</v>
      </c>
      <c r="F264" t="inlineStr">
        <is>
          <t>VÄSTRA GÖTALANDS LÄN</t>
        </is>
      </c>
      <c r="G264" t="inlineStr">
        <is>
          <t>FALKÖPING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62710-2023</t>
        </is>
      </c>
      <c r="B265" t="inlineStr">
        <is>
          <t>avverkningsanmälan</t>
        </is>
      </c>
      <c r="C265" t="inlineStr">
        <is>
          <t>Föryngringsavverkning</t>
        </is>
      </c>
      <c r="D265" s="1" t="n">
        <v>45271</v>
      </c>
      <c r="E265" s="1" t="n">
        <v>46305</v>
      </c>
      <c r="F265" t="inlineStr">
        <is>
          <t>VÄSTRA GÖTALANDS LÄN</t>
        </is>
      </c>
      <c r="G265" t="inlineStr">
        <is>
          <t>FALKÖPING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56938-2025</t>
        </is>
      </c>
      <c r="B266" t="inlineStr">
        <is>
          <t>avverkningsanmälan</t>
        </is>
      </c>
      <c r="C266" t="inlineStr">
        <is>
          <t>Föryngringsavverkning</t>
        </is>
      </c>
      <c r="D266" s="1" t="n">
        <v>45978</v>
      </c>
      <c r="E266" s="1" t="n">
        <v>46305</v>
      </c>
      <c r="F266" t="inlineStr">
        <is>
          <t>VÄSTRA GÖTALANDS LÄN</t>
        </is>
      </c>
      <c r="G266" t="inlineStr">
        <is>
          <t>FALKÖPING</t>
        </is>
      </c>
      <c r="H266" t="inlineStr">
        <is>
          <t>Sveaskog</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38244-2022</t>
        </is>
      </c>
      <c r="B267" t="inlineStr">
        <is>
          <t>avverkningsanmälan</t>
        </is>
      </c>
      <c r="C267" t="inlineStr">
        <is>
          <t>Föryngringsavverkning</t>
        </is>
      </c>
      <c r="D267" s="1" t="n">
        <v>44812</v>
      </c>
      <c r="E267" s="1" t="n">
        <v>46305</v>
      </c>
      <c r="F267" t="inlineStr">
        <is>
          <t>VÄSTRA GÖTALANDS LÄN</t>
        </is>
      </c>
      <c r="G267" t="inlineStr">
        <is>
          <t>FALKÖPING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4585-2025</t>
        </is>
      </c>
      <c r="B268" t="inlineStr">
        <is>
          <t>avverkningsanmälan</t>
        </is>
      </c>
      <c r="C268" t="inlineStr">
        <is>
          <t>Föryngringsavverkning</t>
        </is>
      </c>
      <c r="D268" s="1" t="n">
        <v>45687</v>
      </c>
      <c r="E268" s="1" t="n">
        <v>46305</v>
      </c>
      <c r="F268" t="inlineStr">
        <is>
          <t>VÄSTRA GÖTALANDS LÄN</t>
        </is>
      </c>
      <c r="G268" t="inlineStr">
        <is>
          <t>FALKÖPING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49278-2023</t>
        </is>
      </c>
      <c r="B269" t="inlineStr">
        <is>
          <t>avverkningsanmälan</t>
        </is>
      </c>
      <c r="C269" t="inlineStr">
        <is>
          <t>Föryngringsavverkning</t>
        </is>
      </c>
      <c r="D269" s="1" t="n">
        <v>45210</v>
      </c>
      <c r="E269" s="1" t="n">
        <v>46305</v>
      </c>
      <c r="F269" t="inlineStr">
        <is>
          <t>VÄSTRA GÖTALANDS LÄN</t>
        </is>
      </c>
      <c r="G269" t="inlineStr">
        <is>
          <t>FALKÖPING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55434-2024</t>
        </is>
      </c>
      <c r="B270" t="inlineStr">
        <is>
          <t>avverkningsanmälan</t>
        </is>
      </c>
      <c r="C270" t="inlineStr">
        <is>
          <t>Föryngringsavverkning</t>
        </is>
      </c>
      <c r="D270" s="1" t="n">
        <v>45622</v>
      </c>
      <c r="E270" s="1" t="n">
        <v>46305</v>
      </c>
      <c r="F270" t="inlineStr">
        <is>
          <t>VÄSTRA GÖTALANDS LÄN</t>
        </is>
      </c>
      <c r="G270" t="inlineStr">
        <is>
          <t>FALKÖPING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60524-2023</t>
        </is>
      </c>
      <c r="B271" t="inlineStr">
        <is>
          <t>avverkningsanmälan</t>
        </is>
      </c>
      <c r="C271" t="inlineStr">
        <is>
          <t>Avverkning för annat ändamål</t>
        </is>
      </c>
      <c r="D271" s="1" t="n">
        <v>45259</v>
      </c>
      <c r="E271" s="1" t="n">
        <v>46305</v>
      </c>
      <c r="F271" t="inlineStr">
        <is>
          <t>VÄSTRA GÖTALANDS LÄN</t>
        </is>
      </c>
      <c r="G271" t="inlineStr">
        <is>
          <t>FALKÖPING</t>
        </is>
      </c>
      <c r="I271" t="n">
        <v>15.8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54774-2023</t>
        </is>
      </c>
      <c r="B272" t="inlineStr">
        <is>
          <t>avverkningsanmälan</t>
        </is>
      </c>
      <c r="C272" t="inlineStr">
        <is>
          <t>Föryngringsavverkning</t>
        </is>
      </c>
      <c r="D272" s="1" t="n">
        <v>45236</v>
      </c>
      <c r="E272" s="1" t="n">
        <v>46305</v>
      </c>
      <c r="F272" t="inlineStr">
        <is>
          <t>VÄSTRA GÖTALANDS LÄN</t>
        </is>
      </c>
      <c r="G272" t="inlineStr">
        <is>
          <t>FALKÖPING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14656-2026</t>
        </is>
      </c>
      <c r="B273" t="inlineStr">
        <is>
          <t>avverkningsanmälan</t>
        </is>
      </c>
      <c r="C273" t="inlineStr">
        <is>
          <t>Föryngringsavverkning</t>
        </is>
      </c>
      <c r="D273" s="1" t="n">
        <v>46101</v>
      </c>
      <c r="E273" s="1" t="n">
        <v>46305</v>
      </c>
      <c r="F273" t="inlineStr">
        <is>
          <t>VÄSTRA GÖTALANDS LÄN</t>
        </is>
      </c>
      <c r="G273" t="inlineStr">
        <is>
          <t>FALKÖPING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10830-2022</t>
        </is>
      </c>
      <c r="B274" t="inlineStr">
        <is>
          <t>avverkningsanmälan</t>
        </is>
      </c>
      <c r="C274" t="inlineStr">
        <is>
          <t>Föryngringsavverkning</t>
        </is>
      </c>
      <c r="D274" s="1" t="n">
        <v>44627</v>
      </c>
      <c r="E274" s="1" t="n">
        <v>46305</v>
      </c>
      <c r="F274" t="inlineStr">
        <is>
          <t>VÄSTRA GÖTALANDS LÄN</t>
        </is>
      </c>
      <c r="G274" t="inlineStr">
        <is>
          <t>FALKÖPING</t>
        </is>
      </c>
      <c r="H274" t="inlineStr">
        <is>
          <t>Kommuner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32203-2024</t>
        </is>
      </c>
      <c r="B275" t="inlineStr">
        <is>
          <t>avverkningsanmälan</t>
        </is>
      </c>
      <c r="C275" t="inlineStr">
        <is>
          <t>Föryngringsavverkning</t>
        </is>
      </c>
      <c r="D275" s="1" t="n">
        <v>45511</v>
      </c>
      <c r="E275" s="1" t="n">
        <v>46305</v>
      </c>
      <c r="F275" t="inlineStr">
        <is>
          <t>VÄSTRA GÖTALANDS LÄN</t>
        </is>
      </c>
      <c r="G275" t="inlineStr">
        <is>
          <t>FALKÖPING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6718-2025</t>
        </is>
      </c>
      <c r="B276" t="inlineStr">
        <is>
          <t>avverkningsanmälan</t>
        </is>
      </c>
      <c r="C276" t="inlineStr">
        <is>
          <t>Föryngringsavverkning</t>
        </is>
      </c>
      <c r="D276" s="1" t="n">
        <v>45700</v>
      </c>
      <c r="E276" s="1" t="n">
        <v>46305</v>
      </c>
      <c r="F276" t="inlineStr">
        <is>
          <t>VÄSTRA GÖTALANDS LÄN</t>
        </is>
      </c>
      <c r="G276" t="inlineStr">
        <is>
          <t>FALKÖPING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6720-2025</t>
        </is>
      </c>
      <c r="B277" t="inlineStr">
        <is>
          <t>avverkningsanmälan</t>
        </is>
      </c>
      <c r="C277" t="inlineStr">
        <is>
          <t>Föryngringsavverkning</t>
        </is>
      </c>
      <c r="D277" s="1" t="n">
        <v>45700</v>
      </c>
      <c r="E277" s="1" t="n">
        <v>46305</v>
      </c>
      <c r="F277" t="inlineStr">
        <is>
          <t>VÄSTRA GÖTALANDS LÄN</t>
        </is>
      </c>
      <c r="G277" t="inlineStr">
        <is>
          <t>FALKÖPING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59237-2025</t>
        </is>
      </c>
      <c r="B278" t="inlineStr">
        <is>
          <t>avverkningsanmälan</t>
        </is>
      </c>
      <c r="C278" t="inlineStr">
        <is>
          <t>Föryngringsavverkning</t>
        </is>
      </c>
      <c r="D278" s="1" t="n">
        <v>45988</v>
      </c>
      <c r="E278" s="1" t="n">
        <v>46305</v>
      </c>
      <c r="F278" t="inlineStr">
        <is>
          <t>VÄSTRA GÖTALANDS LÄN</t>
        </is>
      </c>
      <c r="G278" t="inlineStr">
        <is>
          <t>FALKÖPING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59240-2025</t>
        </is>
      </c>
      <c r="B279" t="inlineStr">
        <is>
          <t>avverkningsanmälan</t>
        </is>
      </c>
      <c r="C279" t="inlineStr">
        <is>
          <t>Föryngringsavverkning</t>
        </is>
      </c>
      <c r="D279" s="1" t="n">
        <v>45988</v>
      </c>
      <c r="E279" s="1" t="n">
        <v>46305</v>
      </c>
      <c r="F279" t="inlineStr">
        <is>
          <t>VÄSTRA GÖTALANDS LÄN</t>
        </is>
      </c>
      <c r="G279" t="inlineStr">
        <is>
          <t>FALKÖPING</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30441-2023</t>
        </is>
      </c>
      <c r="B280" t="inlineStr">
        <is>
          <t>avverkningsanmälan</t>
        </is>
      </c>
      <c r="C280" t="inlineStr">
        <is>
          <t>Föryngringsavverkning</t>
        </is>
      </c>
      <c r="D280" s="1" t="n">
        <v>45111</v>
      </c>
      <c r="E280" s="1" t="n">
        <v>46305</v>
      </c>
      <c r="F280" t="inlineStr">
        <is>
          <t>VÄSTRA GÖTALANDS LÄN</t>
        </is>
      </c>
      <c r="G280" t="inlineStr">
        <is>
          <t>FALKÖPING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38394-2023</t>
        </is>
      </c>
      <c r="B281" t="inlineStr">
        <is>
          <t>avverkningsanmälan</t>
        </is>
      </c>
      <c r="C281" t="inlineStr">
        <is>
          <t>Föryngringsavverkning</t>
        </is>
      </c>
      <c r="D281" s="1" t="n">
        <v>45162</v>
      </c>
      <c r="E281" s="1" t="n">
        <v>46305</v>
      </c>
      <c r="F281" t="inlineStr">
        <is>
          <t>VÄSTRA GÖTALANDS LÄN</t>
        </is>
      </c>
      <c r="G281" t="inlineStr">
        <is>
          <t>FALKÖPING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17122-2026</t>
        </is>
      </c>
      <c r="B282" t="inlineStr">
        <is>
          <t>avverkningsanmälan</t>
        </is>
      </c>
      <c r="C282" t="inlineStr">
        <is>
          <t>Föryngringsavverkning</t>
        </is>
      </c>
      <c r="D282" s="1" t="n">
        <v>46114</v>
      </c>
      <c r="E282" s="1" t="n">
        <v>46305</v>
      </c>
      <c r="F282" t="inlineStr">
        <is>
          <t>VÄSTRA GÖTALANDS LÄN</t>
        </is>
      </c>
      <c r="G282" t="inlineStr">
        <is>
          <t>FALKÖPING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60276-2025</t>
        </is>
      </c>
      <c r="B283" t="inlineStr">
        <is>
          <t>avverkningsanmälan</t>
        </is>
      </c>
      <c r="C283" t="inlineStr">
        <is>
          <t>Föryngringsavverkning</t>
        </is>
      </c>
      <c r="D283" s="1" t="n">
        <v>45994</v>
      </c>
      <c r="E283" s="1" t="n">
        <v>46305</v>
      </c>
      <c r="F283" t="inlineStr">
        <is>
          <t>VÄSTRA GÖTALANDS LÄN</t>
        </is>
      </c>
      <c r="G283" t="inlineStr">
        <is>
          <t>FALKÖPING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17289-2026</t>
        </is>
      </c>
      <c r="B284" t="inlineStr">
        <is>
          <t>avverkningsanmälan</t>
        </is>
      </c>
      <c r="C284" t="inlineStr">
        <is>
          <t>Föryngringsavverkning</t>
        </is>
      </c>
      <c r="D284" s="1" t="n">
        <v>46119</v>
      </c>
      <c r="E284" s="1" t="n">
        <v>46305</v>
      </c>
      <c r="F284" t="inlineStr">
        <is>
          <t>VÄSTRA GÖTALANDS LÄN</t>
        </is>
      </c>
      <c r="G284" t="inlineStr">
        <is>
          <t>FALKÖPING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60273-2025</t>
        </is>
      </c>
      <c r="B285" t="inlineStr">
        <is>
          <t>avverkningsanmälan</t>
        </is>
      </c>
      <c r="C285" t="inlineStr">
        <is>
          <t>Föryngringsavverkning</t>
        </is>
      </c>
      <c r="D285" s="1" t="n">
        <v>45994</v>
      </c>
      <c r="E285" s="1" t="n">
        <v>46305</v>
      </c>
      <c r="F285" t="inlineStr">
        <is>
          <t>VÄSTRA GÖTALANDS LÄN</t>
        </is>
      </c>
      <c r="G285" t="inlineStr">
        <is>
          <t>FALKÖPING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60274-2025</t>
        </is>
      </c>
      <c r="B286" t="inlineStr">
        <is>
          <t>avverkningsanmälan</t>
        </is>
      </c>
      <c r="C286" t="inlineStr">
        <is>
          <t>Föryngringsavverkning</t>
        </is>
      </c>
      <c r="D286" s="1" t="n">
        <v>45994</v>
      </c>
      <c r="E286" s="1" t="n">
        <v>46305</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49390-2022</t>
        </is>
      </c>
      <c r="B287" t="inlineStr">
        <is>
          <t>avverkningsanmälan</t>
        </is>
      </c>
      <c r="C287" t="inlineStr">
        <is>
          <t>Föryngringsavverkning</t>
        </is>
      </c>
      <c r="D287" s="1" t="n">
        <v>44861</v>
      </c>
      <c r="E287" s="1" t="n">
        <v>46305</v>
      </c>
      <c r="F287" t="inlineStr">
        <is>
          <t>VÄSTRA GÖTALANDS LÄN</t>
        </is>
      </c>
      <c r="G287" t="inlineStr">
        <is>
          <t>FALKÖPING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18303-2026</t>
        </is>
      </c>
      <c r="B288" t="inlineStr">
        <is>
          <t>avverkningsanmälan</t>
        </is>
      </c>
      <c r="C288" t="inlineStr">
        <is>
          <t>Föryngringsavverkning</t>
        </is>
      </c>
      <c r="D288" s="1" t="n">
        <v>46126</v>
      </c>
      <c r="E288" s="1" t="n">
        <v>46305</v>
      </c>
      <c r="F288" t="inlineStr">
        <is>
          <t>VÄSTRA GÖTALANDS LÄN</t>
        </is>
      </c>
      <c r="G288" t="inlineStr">
        <is>
          <t>FALKÖPING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18126-2023</t>
        </is>
      </c>
      <c r="B289" t="inlineStr">
        <is>
          <t>avverkningsanmälan</t>
        </is>
      </c>
      <c r="C289" t="inlineStr">
        <is>
          <t>Föryngringsavverkning</t>
        </is>
      </c>
      <c r="D289" s="1" t="n">
        <v>45040</v>
      </c>
      <c r="E289" s="1" t="n">
        <v>46305</v>
      </c>
      <c r="F289" t="inlineStr">
        <is>
          <t>VÄSTRA GÖTALANDS LÄN</t>
        </is>
      </c>
      <c r="G289" t="inlineStr">
        <is>
          <t>FALKÖPING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16803-2023</t>
        </is>
      </c>
      <c r="B290" t="inlineStr">
        <is>
          <t>avverkningsanmälan</t>
        </is>
      </c>
      <c r="C290" t="inlineStr">
        <is>
          <t>Föryngringsavverkning</t>
        </is>
      </c>
      <c r="D290" s="1" t="n">
        <v>45033</v>
      </c>
      <c r="E290" s="1" t="n">
        <v>46305</v>
      </c>
      <c r="F290" t="inlineStr">
        <is>
          <t>VÄSTRA GÖTALANDS LÄN</t>
        </is>
      </c>
      <c r="G290" t="inlineStr">
        <is>
          <t>FALKÖPING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12765-2024</t>
        </is>
      </c>
      <c r="B291" t="inlineStr">
        <is>
          <t>avverkningsanmälan</t>
        </is>
      </c>
      <c r="C291" t="inlineStr">
        <is>
          <t>Föryngringsavverkning</t>
        </is>
      </c>
      <c r="D291" s="1" t="n">
        <v>45384</v>
      </c>
      <c r="E291" s="1" t="n">
        <v>46305</v>
      </c>
      <c r="F291" t="inlineStr">
        <is>
          <t>VÄSTRA GÖTALANDS LÄN</t>
        </is>
      </c>
      <c r="G291" t="inlineStr">
        <is>
          <t>FALKÖPING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19133-2026</t>
        </is>
      </c>
      <c r="B292" t="inlineStr">
        <is>
          <t>avverkningsanmälan</t>
        </is>
      </c>
      <c r="C292" t="inlineStr">
        <is>
          <t>Föryngringsavverkning</t>
        </is>
      </c>
      <c r="D292" s="1" t="n">
        <v>46132</v>
      </c>
      <c r="E292" s="1" t="n">
        <v>46305</v>
      </c>
      <c r="F292" t="inlineStr">
        <is>
          <t>VÄSTRA GÖTALANDS LÄN</t>
        </is>
      </c>
      <c r="G292" t="inlineStr">
        <is>
          <t>FALKÖPING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62057-2025</t>
        </is>
      </c>
      <c r="B293" t="inlineStr">
        <is>
          <t>avverkningsanmälan</t>
        </is>
      </c>
      <c r="C293" t="inlineStr">
        <is>
          <t>Avverkning för att bevara och utveckla /försöksver</t>
        </is>
      </c>
      <c r="D293" s="1" t="n">
        <v>46006</v>
      </c>
      <c r="E293" s="1" t="n">
        <v>46305</v>
      </c>
      <c r="F293" t="inlineStr">
        <is>
          <t>VÄSTRA GÖTALANDS LÄN</t>
        </is>
      </c>
      <c r="G293" t="inlineStr">
        <is>
          <t>FALKÖPING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16942-2023</t>
        </is>
      </c>
      <c r="B294" t="inlineStr">
        <is>
          <t>avverkningsanmälan</t>
        </is>
      </c>
      <c r="C294" t="inlineStr">
        <is>
          <t>Föryngringsavverkning</t>
        </is>
      </c>
      <c r="D294" s="1" t="n">
        <v>45033</v>
      </c>
      <c r="E294" s="1" t="n">
        <v>46305</v>
      </c>
      <c r="F294" t="inlineStr">
        <is>
          <t>VÄSTRA GÖTALANDS LÄN</t>
        </is>
      </c>
      <c r="G294" t="inlineStr">
        <is>
          <t>FALKÖPING</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61994-2025</t>
        </is>
      </c>
      <c r="B295" t="inlineStr">
        <is>
          <t>avverkningsanmälan</t>
        </is>
      </c>
      <c r="C295" t="inlineStr">
        <is>
          <t>Föryngringsavverkning</t>
        </is>
      </c>
      <c r="D295" s="1" t="n">
        <v>46003</v>
      </c>
      <c r="E295" s="1" t="n">
        <v>46305</v>
      </c>
      <c r="F295" t="inlineStr">
        <is>
          <t>VÄSTRA GÖTALANDS LÄN</t>
        </is>
      </c>
      <c r="G295" t="inlineStr">
        <is>
          <t>FALKÖPING</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62147-2025</t>
        </is>
      </c>
      <c r="B296" t="inlineStr">
        <is>
          <t>avverkningsanmälan</t>
        </is>
      </c>
      <c r="C296" t="inlineStr">
        <is>
          <t>Föryngringsavverkning</t>
        </is>
      </c>
      <c r="D296" s="1" t="n">
        <v>46006</v>
      </c>
      <c r="E296" s="1" t="n">
        <v>46305</v>
      </c>
      <c r="F296" t="inlineStr">
        <is>
          <t>VÄSTRA GÖTALANDS LÄN</t>
        </is>
      </c>
      <c r="G296" t="inlineStr">
        <is>
          <t>FALKÖPING</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9008-2023</t>
        </is>
      </c>
      <c r="B297" t="inlineStr">
        <is>
          <t>avverkningsanmälan</t>
        </is>
      </c>
      <c r="C297" t="inlineStr">
        <is>
          <t>Avverkning för annat ändamål</t>
        </is>
      </c>
      <c r="D297" s="1" t="n">
        <v>44979</v>
      </c>
      <c r="E297" s="1" t="n">
        <v>46305</v>
      </c>
      <c r="F297" t="inlineStr">
        <is>
          <t>VÄSTRA GÖTALANDS LÄN</t>
        </is>
      </c>
      <c r="G297" t="inlineStr">
        <is>
          <t>FALKÖPING</t>
        </is>
      </c>
      <c r="H297" t="inlineStr">
        <is>
          <t>Övriga Aktiebolag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38111-2023</t>
        </is>
      </c>
      <c r="B298" t="inlineStr">
        <is>
          <t>avverkningsanmälan</t>
        </is>
      </c>
      <c r="C298" t="inlineStr">
        <is>
          <t>Föryngringsavverkning</t>
        </is>
      </c>
      <c r="D298" s="1" t="n">
        <v>45161</v>
      </c>
      <c r="E298" s="1" t="n">
        <v>46305</v>
      </c>
      <c r="F298" t="inlineStr">
        <is>
          <t>VÄSTRA GÖTALANDS LÄN</t>
        </is>
      </c>
      <c r="G298" t="inlineStr">
        <is>
          <t>FALKÖPING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38246-2022</t>
        </is>
      </c>
      <c r="B299" t="inlineStr">
        <is>
          <t>avverkningsanmälan</t>
        </is>
      </c>
      <c r="C299" t="inlineStr">
        <is>
          <t>Föryngringsavverkning</t>
        </is>
      </c>
      <c r="D299" s="1" t="n">
        <v>44812</v>
      </c>
      <c r="E299" s="1" t="n">
        <v>46305</v>
      </c>
      <c r="F299" t="inlineStr">
        <is>
          <t>VÄSTRA GÖTALANDS LÄN</t>
        </is>
      </c>
      <c r="G299" t="inlineStr">
        <is>
          <t>FALKÖPING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61266-2024</t>
        </is>
      </c>
      <c r="B300" t="inlineStr">
        <is>
          <t>avverkningsanmälan</t>
        </is>
      </c>
      <c r="C300" t="inlineStr">
        <is>
          <t>Föryngringsavverkning</t>
        </is>
      </c>
      <c r="D300" s="1" t="n">
        <v>45645</v>
      </c>
      <c r="E300" s="1" t="n">
        <v>46305</v>
      </c>
      <c r="F300" t="inlineStr">
        <is>
          <t>VÄSTRA GÖTALANDS LÄN</t>
        </is>
      </c>
      <c r="G300" t="inlineStr">
        <is>
          <t>FALKÖPING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4765-2022</t>
        </is>
      </c>
      <c r="B301" t="inlineStr">
        <is>
          <t>avverkningsanmälan</t>
        </is>
      </c>
      <c r="C301" t="inlineStr">
        <is>
          <t>Föryngringsavverkning</t>
        </is>
      </c>
      <c r="D301" s="1" t="n">
        <v>44592</v>
      </c>
      <c r="E301" s="1" t="n">
        <v>46305</v>
      </c>
      <c r="F301" t="inlineStr">
        <is>
          <t>VÄSTRA GÖTALANDS LÄN</t>
        </is>
      </c>
      <c r="G301" t="inlineStr">
        <is>
          <t>FALKÖPING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19835-2026</t>
        </is>
      </c>
      <c r="B302" t="inlineStr">
        <is>
          <t>avverkningsanmälan</t>
        </is>
      </c>
      <c r="C302" t="inlineStr">
        <is>
          <t>Föryngringsavverkning</t>
        </is>
      </c>
      <c r="D302" s="1" t="n">
        <v>46135</v>
      </c>
      <c r="E302" s="1" t="n">
        <v>46305</v>
      </c>
      <c r="F302" t="inlineStr">
        <is>
          <t>VÄSTRA GÖTALANDS LÄN</t>
        </is>
      </c>
      <c r="G302" t="inlineStr">
        <is>
          <t>FALKÖPING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48016-2023</t>
        </is>
      </c>
      <c r="B303" t="inlineStr">
        <is>
          <t>avverkningsanmälan</t>
        </is>
      </c>
      <c r="C303" t="inlineStr">
        <is>
          <t>Föryngringsavverkning</t>
        </is>
      </c>
      <c r="D303" s="1" t="n">
        <v>45204</v>
      </c>
      <c r="E303" s="1" t="n">
        <v>46305</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20360-2025</t>
        </is>
      </c>
      <c r="B304" t="inlineStr">
        <is>
          <t>avverkningsanmälan</t>
        </is>
      </c>
      <c r="C304" t="inlineStr">
        <is>
          <t>Föryngringsavverkning</t>
        </is>
      </c>
      <c r="D304" s="1" t="n">
        <v>45775</v>
      </c>
      <c r="E304" s="1" t="n">
        <v>46305</v>
      </c>
      <c r="F304" t="inlineStr">
        <is>
          <t>VÄSTRA GÖTALANDS LÄN</t>
        </is>
      </c>
      <c r="G304" t="inlineStr">
        <is>
          <t>FALKÖPING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40834-2024</t>
        </is>
      </c>
      <c r="B305" t="inlineStr">
        <is>
          <t>avverkningsanmälan</t>
        </is>
      </c>
      <c r="C305" t="inlineStr">
        <is>
          <t>Föryngringsavverkning</t>
        </is>
      </c>
      <c r="D305" s="1" t="n">
        <v>45558</v>
      </c>
      <c r="E305" s="1" t="n">
        <v>46305</v>
      </c>
      <c r="F305" t="inlineStr">
        <is>
          <t>VÄSTRA GÖTALANDS LÄN</t>
        </is>
      </c>
      <c r="G305" t="inlineStr">
        <is>
          <t>FALKÖPING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5264-2022</t>
        </is>
      </c>
      <c r="B306" t="inlineStr">
        <is>
          <t>avverkningsanmälan</t>
        </is>
      </c>
      <c r="C306" t="inlineStr">
        <is>
          <t>Föryngringsavverkning</t>
        </is>
      </c>
      <c r="D306" s="1" t="n">
        <v>44594</v>
      </c>
      <c r="E306" s="1" t="n">
        <v>46305</v>
      </c>
      <c r="F306" t="inlineStr">
        <is>
          <t>VÄSTRA GÖTALANDS LÄN</t>
        </is>
      </c>
      <c r="G306" t="inlineStr">
        <is>
          <t>FALKÖPING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55312-2022</t>
        </is>
      </c>
      <c r="B307" t="inlineStr">
        <is>
          <t>avverkningsanmälan</t>
        </is>
      </c>
      <c r="C307" t="inlineStr">
        <is>
          <t>Föryngringsavverkning</t>
        </is>
      </c>
      <c r="D307" s="1" t="n">
        <v>44882</v>
      </c>
      <c r="E307" s="1" t="n">
        <v>46305</v>
      </c>
      <c r="F307" t="inlineStr">
        <is>
          <t>VÄSTRA GÖTALANDS LÄN</t>
        </is>
      </c>
      <c r="G307" t="inlineStr">
        <is>
          <t>FALKÖPING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63342-2025</t>
        </is>
      </c>
      <c r="B308" t="inlineStr">
        <is>
          <t>avverkningsanmälan</t>
        </is>
      </c>
      <c r="C308" t="inlineStr">
        <is>
          <t>Föryngringsavverkning</t>
        </is>
      </c>
      <c r="D308" s="1" t="n">
        <v>46010</v>
      </c>
      <c r="E308" s="1" t="n">
        <v>46305</v>
      </c>
      <c r="F308" t="inlineStr">
        <is>
          <t>VÄSTRA GÖTALANDS LÄN</t>
        </is>
      </c>
      <c r="G308" t="inlineStr">
        <is>
          <t>FALKÖPING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59935-2024</t>
        </is>
      </c>
      <c r="B309" t="inlineStr">
        <is>
          <t>avverkningsanmälan</t>
        </is>
      </c>
      <c r="C309" t="inlineStr">
        <is>
          <t>Föryngringsavverkning</t>
        </is>
      </c>
      <c r="D309" s="1" t="n">
        <v>45642</v>
      </c>
      <c r="E309" s="1" t="n">
        <v>46305</v>
      </c>
      <c r="F309" t="inlineStr">
        <is>
          <t>VÄSTRA GÖTALANDS LÄN</t>
        </is>
      </c>
      <c r="G309" t="inlineStr">
        <is>
          <t>FALKÖPING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39857-2025</t>
        </is>
      </c>
      <c r="B310" t="inlineStr">
        <is>
          <t>avverkningsanmälan</t>
        </is>
      </c>
      <c r="C310" t="inlineStr">
        <is>
          <t>Föryngringsavverkning</t>
        </is>
      </c>
      <c r="D310" s="1" t="n">
        <v>45891</v>
      </c>
      <c r="E310" s="1" t="n">
        <v>46305</v>
      </c>
      <c r="F310" t="inlineStr">
        <is>
          <t>VÄSTRA GÖTALANDS LÄN</t>
        </is>
      </c>
      <c r="G310" t="inlineStr">
        <is>
          <t>FALKÖPING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34501-2023</t>
        </is>
      </c>
      <c r="B311" t="inlineStr">
        <is>
          <t>avverkningsanmälan</t>
        </is>
      </c>
      <c r="C311" t="inlineStr">
        <is>
          <t>Föryngringsavverkning</t>
        </is>
      </c>
      <c r="D311" s="1" t="n">
        <v>45133</v>
      </c>
      <c r="E311" s="1" t="n">
        <v>46305</v>
      </c>
      <c r="F311" t="inlineStr">
        <is>
          <t>VÄSTRA GÖTALANDS LÄN</t>
        </is>
      </c>
      <c r="G311" t="inlineStr">
        <is>
          <t>FALKÖPING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580-2026</t>
        </is>
      </c>
      <c r="B312" t="inlineStr">
        <is>
          <t>avverkningsanmälan</t>
        </is>
      </c>
      <c r="C312" t="inlineStr">
        <is>
          <t>Föryngringsavverkning</t>
        </is>
      </c>
      <c r="D312" s="1" t="n">
        <v>46029</v>
      </c>
      <c r="E312" s="1" t="n">
        <v>46305</v>
      </c>
      <c r="F312" t="inlineStr">
        <is>
          <t>VÄSTRA GÖTALANDS LÄN</t>
        </is>
      </c>
      <c r="G312" t="inlineStr">
        <is>
          <t>FALKÖPING</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24695-2025</t>
        </is>
      </c>
      <c r="B313" t="inlineStr">
        <is>
          <t>avverkningsanmälan</t>
        </is>
      </c>
      <c r="C313" t="inlineStr">
        <is>
          <t>Föryngringsavverkning</t>
        </is>
      </c>
      <c r="D313" s="1" t="n">
        <v>45798</v>
      </c>
      <c r="E313" s="1" t="n">
        <v>46305</v>
      </c>
      <c r="F313" t="inlineStr">
        <is>
          <t>VÄSTRA GÖTALANDS LÄN</t>
        </is>
      </c>
      <c r="G313" t="inlineStr">
        <is>
          <t>FALKÖPING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556-2026</t>
        </is>
      </c>
      <c r="B314" t="inlineStr">
        <is>
          <t>avverkningsanmälan</t>
        </is>
      </c>
      <c r="C314" t="inlineStr">
        <is>
          <t>Föryngringsavverkning</t>
        </is>
      </c>
      <c r="D314" s="1" t="n">
        <v>46029</v>
      </c>
      <c r="E314" s="1" t="n">
        <v>46305</v>
      </c>
      <c r="F314" t="inlineStr">
        <is>
          <t>VÄSTRA GÖTALANDS LÄN</t>
        </is>
      </c>
      <c r="G314" t="inlineStr">
        <is>
          <t>FALKÖPING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63470-2023</t>
        </is>
      </c>
      <c r="B315" t="inlineStr">
        <is>
          <t>avverkningsanmälan</t>
        </is>
      </c>
      <c r="C315" t="inlineStr">
        <is>
          <t>Avverkning för annat ändamål</t>
        </is>
      </c>
      <c r="D315" s="1" t="n">
        <v>45274</v>
      </c>
      <c r="E315" s="1" t="n">
        <v>46305</v>
      </c>
      <c r="F315" t="inlineStr">
        <is>
          <t>VÄSTRA GÖTALANDS LÄN</t>
        </is>
      </c>
      <c r="G315" t="inlineStr">
        <is>
          <t>FALKÖPING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23846-2022</t>
        </is>
      </c>
      <c r="B316" t="inlineStr">
        <is>
          <t>avverkningsanmälan</t>
        </is>
      </c>
      <c r="C316" t="inlineStr">
        <is>
          <t>Föryngringsavverkning</t>
        </is>
      </c>
      <c r="D316" s="1" t="n">
        <v>44722</v>
      </c>
      <c r="E316" s="1" t="n">
        <v>46305</v>
      </c>
      <c r="F316" t="inlineStr">
        <is>
          <t>VÄSTRA GÖTALANDS LÄN</t>
        </is>
      </c>
      <c r="G316" t="inlineStr">
        <is>
          <t>FALKÖPING</t>
        </is>
      </c>
      <c r="I316" t="n">
        <v>9.1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2941-2026</t>
        </is>
      </c>
      <c r="B317" t="inlineStr">
        <is>
          <t>avverkningsanmälan</t>
        </is>
      </c>
      <c r="C317" t="inlineStr">
        <is>
          <t>Föryngringsavverkning</t>
        </is>
      </c>
      <c r="D317" s="1" t="n">
        <v>46038</v>
      </c>
      <c r="E317" s="1" t="n">
        <v>46305</v>
      </c>
      <c r="F317" t="inlineStr">
        <is>
          <t>VÄSTRA GÖTALANDS LÄN</t>
        </is>
      </c>
      <c r="G317" t="inlineStr">
        <is>
          <t>FALKÖPING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3563-2026</t>
        </is>
      </c>
      <c r="B318" t="inlineStr">
        <is>
          <t>avverkningsanmälan</t>
        </is>
      </c>
      <c r="C318" t="inlineStr">
        <is>
          <t>Föryngringsavverkning</t>
        </is>
      </c>
      <c r="D318" s="1" t="n">
        <v>46042</v>
      </c>
      <c r="E318" s="1" t="n">
        <v>46305</v>
      </c>
      <c r="F318" t="inlineStr">
        <is>
          <t>VÄSTRA GÖTALANDS LÄN</t>
        </is>
      </c>
      <c r="G318" t="inlineStr">
        <is>
          <t>FALKÖPING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3564-2026</t>
        </is>
      </c>
      <c r="B319" t="inlineStr">
        <is>
          <t>avverkningsanmälan</t>
        </is>
      </c>
      <c r="C319" t="inlineStr">
        <is>
          <t>Föryngringsavverkning</t>
        </is>
      </c>
      <c r="D319" s="1" t="n">
        <v>46042</v>
      </c>
      <c r="E319" s="1" t="n">
        <v>46305</v>
      </c>
      <c r="F319" t="inlineStr">
        <is>
          <t>VÄSTRA GÖTALANDS LÄN</t>
        </is>
      </c>
      <c r="G319" t="inlineStr">
        <is>
          <t>FALKÖPING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3722-2026</t>
        </is>
      </c>
      <c r="B320" t="inlineStr">
        <is>
          <t>avverkningsanmälan</t>
        </is>
      </c>
      <c r="C320" t="inlineStr">
        <is>
          <t>Föryngringsavverkning</t>
        </is>
      </c>
      <c r="D320" s="1" t="n">
        <v>46043</v>
      </c>
      <c r="E320" s="1" t="n">
        <v>46305</v>
      </c>
      <c r="F320" t="inlineStr">
        <is>
          <t>VÄSTRA GÖTALANDS LÄN</t>
        </is>
      </c>
      <c r="G320" t="inlineStr">
        <is>
          <t>FALKÖPING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18131-2023</t>
        </is>
      </c>
      <c r="B321" t="inlineStr">
        <is>
          <t>avverkningsanmälan</t>
        </is>
      </c>
      <c r="C321" t="inlineStr">
        <is>
          <t>Föryngringsavverkning</t>
        </is>
      </c>
      <c r="D321" s="1" t="n">
        <v>45040</v>
      </c>
      <c r="E321" s="1" t="n">
        <v>46305</v>
      </c>
      <c r="F321" t="inlineStr">
        <is>
          <t>VÄSTRA GÖTALANDS LÄN</t>
        </is>
      </c>
      <c r="G321" t="inlineStr">
        <is>
          <t>FALKÖPING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17028-2025</t>
        </is>
      </c>
      <c r="B322" t="inlineStr">
        <is>
          <t>avverkningsanmälan</t>
        </is>
      </c>
      <c r="C322" t="inlineStr">
        <is>
          <t>Föryngringsavverkning</t>
        </is>
      </c>
      <c r="D322" s="1" t="n">
        <v>45755</v>
      </c>
      <c r="E322" s="1" t="n">
        <v>46305</v>
      </c>
      <c r="F322" t="inlineStr">
        <is>
          <t>VÄSTRA GÖTALANDS LÄN</t>
        </is>
      </c>
      <c r="G322" t="inlineStr">
        <is>
          <t>FALKÖPING</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35450-2023</t>
        </is>
      </c>
      <c r="B323" t="inlineStr">
        <is>
          <t>avverkningsanmälan</t>
        </is>
      </c>
      <c r="C323" t="inlineStr">
        <is>
          <t>Föryngringsavverkning</t>
        </is>
      </c>
      <c r="D323" s="1" t="n">
        <v>45146</v>
      </c>
      <c r="E323" s="1" t="n">
        <v>46305</v>
      </c>
      <c r="F323" t="inlineStr">
        <is>
          <t>VÄSTRA GÖTALANDS LÄN</t>
        </is>
      </c>
      <c r="G323" t="inlineStr">
        <is>
          <t>FALKÖPING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16939-2023</t>
        </is>
      </c>
      <c r="B324" t="inlineStr">
        <is>
          <t>avverkningsanmälan</t>
        </is>
      </c>
      <c r="C324" t="inlineStr">
        <is>
          <t>Föryngringsavverkning</t>
        </is>
      </c>
      <c r="D324" s="1" t="n">
        <v>45033</v>
      </c>
      <c r="E324" s="1" t="n">
        <v>46305</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44004-2022</t>
        </is>
      </c>
      <c r="B325" t="inlineStr">
        <is>
          <t>avverkningsanmälan</t>
        </is>
      </c>
      <c r="C325" t="inlineStr">
        <is>
          <t>Föryngringsavverkning</t>
        </is>
      </c>
      <c r="D325" s="1" t="n">
        <v>44838</v>
      </c>
      <c r="E325" s="1" t="n">
        <v>46305</v>
      </c>
      <c r="F325" t="inlineStr">
        <is>
          <t>VÄSTRA GÖTALANDS LÄN</t>
        </is>
      </c>
      <c r="G325" t="inlineStr">
        <is>
          <t>FALKÖPING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15854-2025</t>
        </is>
      </c>
      <c r="B326" t="inlineStr">
        <is>
          <t>avverkningsanmälan</t>
        </is>
      </c>
      <c r="C326" t="inlineStr">
        <is>
          <t>Föryngringsavverkning</t>
        </is>
      </c>
      <c r="D326" s="1" t="n">
        <v>45749</v>
      </c>
      <c r="E326" s="1" t="n">
        <v>46305</v>
      </c>
      <c r="F326" t="inlineStr">
        <is>
          <t>VÄSTRA GÖTALANDS LÄN</t>
        </is>
      </c>
      <c r="G326" t="inlineStr">
        <is>
          <t>FALKÖPING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20230-2026</t>
        </is>
      </c>
      <c r="B327" t="inlineStr">
        <is>
          <t>avverkningsanmälan</t>
        </is>
      </c>
      <c r="C327" t="inlineStr">
        <is>
          <t>Föryngringsavverkning</t>
        </is>
      </c>
      <c r="D327" s="1" t="n">
        <v>46139</v>
      </c>
      <c r="E327" s="1" t="n">
        <v>46305</v>
      </c>
      <c r="F327" t="inlineStr">
        <is>
          <t>VÄSTRA GÖTALANDS LÄN</t>
        </is>
      </c>
      <c r="G327" t="inlineStr">
        <is>
          <t>FALKÖPING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4485-2026</t>
        </is>
      </c>
      <c r="B328" t="inlineStr">
        <is>
          <t>avverkningsanmälan</t>
        </is>
      </c>
      <c r="C328" t="inlineStr">
        <is>
          <t>Föryngringsavverkning</t>
        </is>
      </c>
      <c r="D328" s="1" t="n">
        <v>46045</v>
      </c>
      <c r="E328" s="1" t="n">
        <v>46305</v>
      </c>
      <c r="F328" t="inlineStr">
        <is>
          <t>VÄSTRA GÖTALANDS LÄN</t>
        </is>
      </c>
      <c r="G328" t="inlineStr">
        <is>
          <t>FALKÖPING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42838-2022</t>
        </is>
      </c>
      <c r="B329" t="inlineStr">
        <is>
          <t>avverkningsanmälan</t>
        </is>
      </c>
      <c r="C329" t="inlineStr">
        <is>
          <t>Föryngringsavverkning</t>
        </is>
      </c>
      <c r="D329" s="1" t="n">
        <v>44832</v>
      </c>
      <c r="E329" s="1" t="n">
        <v>46305</v>
      </c>
      <c r="F329" t="inlineStr">
        <is>
          <t>VÄSTRA GÖTALANDS LÄN</t>
        </is>
      </c>
      <c r="G329" t="inlineStr">
        <is>
          <t>FALKÖPING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30443-2023</t>
        </is>
      </c>
      <c r="B330" t="inlineStr">
        <is>
          <t>avverkningsanmälan</t>
        </is>
      </c>
      <c r="C330" t="inlineStr">
        <is>
          <t>Föryngringsavverkning</t>
        </is>
      </c>
      <c r="D330" s="1" t="n">
        <v>45111</v>
      </c>
      <c r="E330" s="1" t="n">
        <v>46305</v>
      </c>
      <c r="F330" t="inlineStr">
        <is>
          <t>VÄSTRA GÖTALANDS LÄN</t>
        </is>
      </c>
      <c r="G330" t="inlineStr">
        <is>
          <t>FALKÖPING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17629-2023</t>
        </is>
      </c>
      <c r="B331" t="inlineStr">
        <is>
          <t>avverkningsanmälan</t>
        </is>
      </c>
      <c r="C331" t="inlineStr">
        <is>
          <t>Föryngringsavverkning</t>
        </is>
      </c>
      <c r="D331" s="1" t="n">
        <v>45036</v>
      </c>
      <c r="E331" s="1" t="n">
        <v>46305</v>
      </c>
      <c r="F331" t="inlineStr">
        <is>
          <t>VÄSTRA GÖTALANDS LÄN</t>
        </is>
      </c>
      <c r="G331" t="inlineStr">
        <is>
          <t>FALKÖPING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6282-2026</t>
        </is>
      </c>
      <c r="B332" t="inlineStr">
        <is>
          <t>avverkningsanmälan</t>
        </is>
      </c>
      <c r="C332" t="inlineStr">
        <is>
          <t>Föryngringsavverkning</t>
        </is>
      </c>
      <c r="D332" s="1" t="n">
        <v>46055</v>
      </c>
      <c r="E332" s="1" t="n">
        <v>46305</v>
      </c>
      <c r="F332" t="inlineStr">
        <is>
          <t>VÄSTRA GÖTALANDS LÄN</t>
        </is>
      </c>
      <c r="G332" t="inlineStr">
        <is>
          <t>FALKÖPING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6281-2026</t>
        </is>
      </c>
      <c r="B333" t="inlineStr">
        <is>
          <t>avverkningsanmälan</t>
        </is>
      </c>
      <c r="C333" t="inlineStr">
        <is>
          <t>Föryngringsavverkning</t>
        </is>
      </c>
      <c r="D333" s="1" t="n">
        <v>46055</v>
      </c>
      <c r="E333" s="1" t="n">
        <v>46305</v>
      </c>
      <c r="F333" t="inlineStr">
        <is>
          <t>VÄSTRA GÖTALANDS LÄN</t>
        </is>
      </c>
      <c r="G333" t="inlineStr">
        <is>
          <t>FALKÖPING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7013-2026</t>
        </is>
      </c>
      <c r="B334" t="inlineStr">
        <is>
          <t>avverkningsanmälan</t>
        </is>
      </c>
      <c r="C334" t="inlineStr">
        <is>
          <t>Föryngringsavverkning</t>
        </is>
      </c>
      <c r="D334" s="1" t="n">
        <v>46057</v>
      </c>
      <c r="E334" s="1" t="n">
        <v>46305</v>
      </c>
      <c r="F334" t="inlineStr">
        <is>
          <t>VÄSTRA GÖTALANDS LÄN</t>
        </is>
      </c>
      <c r="G334" t="inlineStr">
        <is>
          <t>FALKÖPING</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12081-2025</t>
        </is>
      </c>
      <c r="B335" t="inlineStr">
        <is>
          <t>avverkningsanmälan</t>
        </is>
      </c>
      <c r="C335" t="inlineStr">
        <is>
          <t>Föryngringsavverkning</t>
        </is>
      </c>
      <c r="D335" s="1" t="n">
        <v>45728</v>
      </c>
      <c r="E335" s="1" t="n">
        <v>46305</v>
      </c>
      <c r="F335" t="inlineStr">
        <is>
          <t>VÄSTRA GÖTALANDS LÄN</t>
        </is>
      </c>
      <c r="G335" t="inlineStr">
        <is>
          <t>FALKÖPING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8077-2026</t>
        </is>
      </c>
      <c r="B336" t="inlineStr">
        <is>
          <t>avverkningsanmälan</t>
        </is>
      </c>
      <c r="C336" t="inlineStr">
        <is>
          <t>Föryngringsavverkning</t>
        </is>
      </c>
      <c r="D336" s="1" t="n">
        <v>46063</v>
      </c>
      <c r="E336" s="1" t="n">
        <v>46305</v>
      </c>
      <c r="F336" t="inlineStr">
        <is>
          <t>VÄSTRA GÖTALANDS LÄN</t>
        </is>
      </c>
      <c r="G336" t="inlineStr">
        <is>
          <t>FALKÖPING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9244-2026</t>
        </is>
      </c>
      <c r="B337" t="inlineStr">
        <is>
          <t>avverkningsanmälan</t>
        </is>
      </c>
      <c r="C337" t="inlineStr">
        <is>
          <t>Avverkning för annat ändamål</t>
        </is>
      </c>
      <c r="D337" s="1" t="n">
        <v>46069</v>
      </c>
      <c r="E337" s="1" t="n">
        <v>46305</v>
      </c>
      <c r="F337" t="inlineStr">
        <is>
          <t>VÄSTRA GÖTALANDS LÄN</t>
        </is>
      </c>
      <c r="G337" t="inlineStr">
        <is>
          <t>FALKÖPING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9079-2026</t>
        </is>
      </c>
      <c r="B338" t="inlineStr">
        <is>
          <t>avverkningsanmälan</t>
        </is>
      </c>
      <c r="C338" t="inlineStr">
        <is>
          <t>Föryngringsavverkning</t>
        </is>
      </c>
      <c r="D338" s="1" t="n">
        <v>46069</v>
      </c>
      <c r="E338" s="1" t="n">
        <v>46305</v>
      </c>
      <c r="F338" t="inlineStr">
        <is>
          <t>VÄSTRA GÖTALANDS LÄN</t>
        </is>
      </c>
      <c r="G338" t="inlineStr">
        <is>
          <t>FALKÖPING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9411-2026</t>
        </is>
      </c>
      <c r="B339" t="inlineStr">
        <is>
          <t>avverkningsanmälan</t>
        </is>
      </c>
      <c r="C339" t="inlineStr">
        <is>
          <t>Föryngringsavverkning</t>
        </is>
      </c>
      <c r="D339" s="1" t="n">
        <v>46071</v>
      </c>
      <c r="E339" s="1" t="n">
        <v>46305</v>
      </c>
      <c r="F339" t="inlineStr">
        <is>
          <t>VÄSTRA GÖTALANDS LÄN</t>
        </is>
      </c>
      <c r="G339" t="inlineStr">
        <is>
          <t>FALKÖPING</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9682-2026</t>
        </is>
      </c>
      <c r="B340" t="inlineStr">
        <is>
          <t>avverkningsanmälan</t>
        </is>
      </c>
      <c r="C340" t="inlineStr">
        <is>
          <t>Föryngringsavverkning</t>
        </is>
      </c>
      <c r="D340" s="1" t="n">
        <v>46072</v>
      </c>
      <c r="E340" s="1" t="n">
        <v>46305</v>
      </c>
      <c r="F340" t="inlineStr">
        <is>
          <t>VÄSTRA GÖTALANDS LÄN</t>
        </is>
      </c>
      <c r="G340" t="inlineStr">
        <is>
          <t>FALKÖPING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10106-2026</t>
        </is>
      </c>
      <c r="B341" t="inlineStr">
        <is>
          <t>avverkningsanmälan</t>
        </is>
      </c>
      <c r="C341" t="inlineStr">
        <is>
          <t>Föryngringsavverkning</t>
        </is>
      </c>
      <c r="D341" s="1" t="n">
        <v>46074</v>
      </c>
      <c r="E341" s="1" t="n">
        <v>46305</v>
      </c>
      <c r="F341" t="inlineStr">
        <is>
          <t>VÄSTRA GÖTALANDS LÄN</t>
        </is>
      </c>
      <c r="G341" t="inlineStr">
        <is>
          <t>FALKÖPING</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26563-2023</t>
        </is>
      </c>
      <c r="B342" t="inlineStr">
        <is>
          <t>avverkningsanmälan</t>
        </is>
      </c>
      <c r="C342" t="inlineStr">
        <is>
          <t>Avverkning för annat ändamål</t>
        </is>
      </c>
      <c r="D342" s="1" t="n">
        <v>45092</v>
      </c>
      <c r="E342" s="1" t="n">
        <v>46305</v>
      </c>
      <c r="F342" t="inlineStr">
        <is>
          <t>VÄSTRA GÖTALANDS LÄN</t>
        </is>
      </c>
      <c r="G342" t="inlineStr">
        <is>
          <t>FALKÖPING</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19009-2025</t>
        </is>
      </c>
      <c r="B343" t="inlineStr">
        <is>
          <t>avverkningsanmälan</t>
        </is>
      </c>
      <c r="C343" t="inlineStr">
        <is>
          <t>Avverkning för annat ändamål</t>
        </is>
      </c>
      <c r="D343" s="1" t="n">
        <v>45764</v>
      </c>
      <c r="E343" s="1" t="n">
        <v>46305</v>
      </c>
      <c r="F343" t="inlineStr">
        <is>
          <t>VÄSTRA GÖTALANDS LÄN</t>
        </is>
      </c>
      <c r="G343" t="inlineStr">
        <is>
          <t>FALKÖPING</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40555-2025</t>
        </is>
      </c>
      <c r="B344" t="inlineStr">
        <is>
          <t>avverkningsanmälan</t>
        </is>
      </c>
      <c r="C344" t="inlineStr">
        <is>
          <t>Föryngringsavverkning</t>
        </is>
      </c>
      <c r="D344" s="1" t="n">
        <v>45896</v>
      </c>
      <c r="E344" s="1" t="n">
        <v>46305</v>
      </c>
      <c r="F344" t="inlineStr">
        <is>
          <t>VÄSTRA GÖTALANDS LÄN</t>
        </is>
      </c>
      <c r="G344" t="inlineStr">
        <is>
          <t>FALKÖPING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12548-2026</t>
        </is>
      </c>
      <c r="B345" t="inlineStr">
        <is>
          <t>avverkningsanmälan</t>
        </is>
      </c>
      <c r="C345" t="inlineStr">
        <is>
          <t>Föryngringsavverkning</t>
        </is>
      </c>
      <c r="D345" s="1" t="n">
        <v>46090</v>
      </c>
      <c r="E345" s="1" t="n">
        <v>46305</v>
      </c>
      <c r="F345" t="inlineStr">
        <is>
          <t>VÄSTRA GÖTALANDS LÄN</t>
        </is>
      </c>
      <c r="G345" t="inlineStr">
        <is>
          <t>FALKÖPING</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6495-2025</t>
        </is>
      </c>
      <c r="B346" t="inlineStr">
        <is>
          <t>avverkningsanmälan</t>
        </is>
      </c>
      <c r="C346" t="inlineStr">
        <is>
          <t>Föryngringsavverkning</t>
        </is>
      </c>
      <c r="D346" s="1" t="n">
        <v>45699</v>
      </c>
      <c r="E346" s="1" t="n">
        <v>46305</v>
      </c>
      <c r="F346" t="inlineStr">
        <is>
          <t>VÄSTRA GÖTALANDS LÄN</t>
        </is>
      </c>
      <c r="G346" t="inlineStr">
        <is>
          <t>FALKÖPING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12559-2026</t>
        </is>
      </c>
      <c r="B347" t="inlineStr">
        <is>
          <t>avverkningsanmälan</t>
        </is>
      </c>
      <c r="C347" t="inlineStr">
        <is>
          <t>Föryngringsavverkning</t>
        </is>
      </c>
      <c r="D347" s="1" t="n">
        <v>46090</v>
      </c>
      <c r="E347" s="1" t="n">
        <v>46305</v>
      </c>
      <c r="F347" t="inlineStr">
        <is>
          <t>VÄSTRA GÖTALANDS LÄN</t>
        </is>
      </c>
      <c r="G347" t="inlineStr">
        <is>
          <t>FALKÖPING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61181-2024</t>
        </is>
      </c>
      <c r="B348" t="inlineStr">
        <is>
          <t>avverkningsanmälan</t>
        </is>
      </c>
      <c r="C348" t="inlineStr">
        <is>
          <t>Avverkning för annat ändamål</t>
        </is>
      </c>
      <c r="D348" s="1" t="n">
        <v>45645</v>
      </c>
      <c r="E348" s="1" t="n">
        <v>46305</v>
      </c>
      <c r="F348" t="inlineStr">
        <is>
          <t>VÄSTRA GÖTALANDS LÄN</t>
        </is>
      </c>
      <c r="G348" t="inlineStr">
        <is>
          <t>FALKÖPING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56216-2025</t>
        </is>
      </c>
      <c r="B349" t="inlineStr">
        <is>
          <t>avverkningsanmälan</t>
        </is>
      </c>
      <c r="C349" t="inlineStr">
        <is>
          <t>Föryngringsavverkning</t>
        </is>
      </c>
      <c r="D349" s="1" t="n">
        <v>45974</v>
      </c>
      <c r="E349" s="1" t="n">
        <v>46305</v>
      </c>
      <c r="F349" t="inlineStr">
        <is>
          <t>VÄSTRA GÖTALANDS LÄN</t>
        </is>
      </c>
      <c r="G349" t="inlineStr">
        <is>
          <t>FALKÖPING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13241-2026</t>
        </is>
      </c>
      <c r="B350" t="inlineStr">
        <is>
          <t>avverkningsanmälan</t>
        </is>
      </c>
      <c r="C350" t="inlineStr">
        <is>
          <t>Föryngringsavverkning</t>
        </is>
      </c>
      <c r="D350" s="1" t="n">
        <v>46093</v>
      </c>
      <c r="E350" s="1" t="n">
        <v>46305</v>
      </c>
      <c r="F350" t="inlineStr">
        <is>
          <t>VÄSTRA GÖTALANDS LÄN</t>
        </is>
      </c>
      <c r="G350" t="inlineStr">
        <is>
          <t>FALKÖPING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13385-2026</t>
        </is>
      </c>
      <c r="B351" t="inlineStr">
        <is>
          <t>avverkningsanmälan</t>
        </is>
      </c>
      <c r="C351" t="inlineStr">
        <is>
          <t>Föryngringsavverkning</t>
        </is>
      </c>
      <c r="D351" s="1" t="n">
        <v>46094</v>
      </c>
      <c r="E351" s="1" t="n">
        <v>46305</v>
      </c>
      <c r="F351" t="inlineStr">
        <is>
          <t>VÄSTRA GÖTALANDS LÄN</t>
        </is>
      </c>
      <c r="G351" t="inlineStr">
        <is>
          <t>FALKÖPING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23443-2026</t>
        </is>
      </c>
      <c r="B352" t="inlineStr">
        <is>
          <t>avverkningsanmälan</t>
        </is>
      </c>
      <c r="C352" t="inlineStr">
        <is>
          <t>Föryngringsavverkning</t>
        </is>
      </c>
      <c r="D352" s="1" t="n">
        <v>46163</v>
      </c>
      <c r="E352" s="1" t="n">
        <v>46305</v>
      </c>
      <c r="F352" t="inlineStr">
        <is>
          <t>VÄSTRA GÖTALANDS LÄN</t>
        </is>
      </c>
      <c r="G352" t="inlineStr">
        <is>
          <t>FALKÖPING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36631-2025</t>
        </is>
      </c>
      <c r="B353" t="inlineStr">
        <is>
          <t>avverkningsanmälan</t>
        </is>
      </c>
      <c r="C353" t="inlineStr">
        <is>
          <t>Föryngringsavverkning</t>
        </is>
      </c>
      <c r="D353" s="1" t="n">
        <v>45870</v>
      </c>
      <c r="E353" s="1" t="n">
        <v>46305</v>
      </c>
      <c r="F353" t="inlineStr">
        <is>
          <t>VÄSTRA GÖTALANDS LÄN</t>
        </is>
      </c>
      <c r="G353" t="inlineStr">
        <is>
          <t>FALKÖPING</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24568-2026</t>
        </is>
      </c>
      <c r="B354" t="inlineStr">
        <is>
          <t>avverkningsanmälan</t>
        </is>
      </c>
      <c r="C354" t="inlineStr">
        <is>
          <t>Föryngringsavverkning</t>
        </is>
      </c>
      <c r="D354" s="1" t="n">
        <v>46170</v>
      </c>
      <c r="E354" s="1" t="n">
        <v>46305</v>
      </c>
      <c r="F354" t="inlineStr">
        <is>
          <t>VÄSTRA GÖTALANDS LÄN</t>
        </is>
      </c>
      <c r="G354" t="inlineStr">
        <is>
          <t>FALKÖPING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25324-2026</t>
        </is>
      </c>
      <c r="B355" t="inlineStr">
        <is>
          <t>avverkningsanmälan</t>
        </is>
      </c>
      <c r="C355" t="inlineStr">
        <is>
          <t>Föryngringsavverkning</t>
        </is>
      </c>
      <c r="D355" s="1" t="n">
        <v>46176</v>
      </c>
      <c r="E355" s="1" t="n">
        <v>46305</v>
      </c>
      <c r="F355" t="inlineStr">
        <is>
          <t>VÄSTRA GÖTALANDS LÄN</t>
        </is>
      </c>
      <c r="G355" t="inlineStr">
        <is>
          <t>FALKÖPING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28526-2026</t>
        </is>
      </c>
      <c r="B356" t="inlineStr">
        <is>
          <t>avverkningsanmälan</t>
        </is>
      </c>
      <c r="C356" t="inlineStr">
        <is>
          <t>Föryngringsavverkning</t>
        </is>
      </c>
      <c r="D356" s="1" t="n">
        <v>46197</v>
      </c>
      <c r="E356" s="1" t="n">
        <v>46305</v>
      </c>
      <c r="F356" t="inlineStr">
        <is>
          <t>VÄSTRA GÖTALANDS LÄN</t>
        </is>
      </c>
      <c r="G356" t="inlineStr">
        <is>
          <t>FALKÖPING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29343-2026</t>
        </is>
      </c>
      <c r="B357" t="inlineStr">
        <is>
          <t>avverkningsanmälan</t>
        </is>
      </c>
      <c r="C357" t="inlineStr">
        <is>
          <t>Föryngringsavverkning</t>
        </is>
      </c>
      <c r="D357" s="1" t="n">
        <v>46202</v>
      </c>
      <c r="E357" s="1" t="n">
        <v>46305</v>
      </c>
      <c r="F357" t="inlineStr">
        <is>
          <t>VÄSTRA GÖTALANDS LÄN</t>
        </is>
      </c>
      <c r="G357" t="inlineStr">
        <is>
          <t>FALKÖPING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30533-2026</t>
        </is>
      </c>
      <c r="B358" t="inlineStr">
        <is>
          <t>avverkningsanmälan</t>
        </is>
      </c>
      <c r="C358" t="inlineStr">
        <is>
          <t>Föryngringsavverkning</t>
        </is>
      </c>
      <c r="D358" s="1" t="n">
        <v>46210</v>
      </c>
      <c r="E358" s="1" t="n">
        <v>46305</v>
      </c>
      <c r="F358" t="inlineStr">
        <is>
          <t>VÄSTRA GÖTALANDS LÄN</t>
        </is>
      </c>
      <c r="G358" t="inlineStr">
        <is>
          <t>FALKÖPING</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3921-2026</t>
        </is>
      </c>
      <c r="B359" t="inlineStr">
        <is>
          <t>avverkningsanmälan</t>
        </is>
      </c>
      <c r="C359" t="inlineStr">
        <is>
          <t>Föryngringsavverkning</t>
        </is>
      </c>
      <c r="D359" s="1" t="n">
        <v>46043</v>
      </c>
      <c r="E359" s="1" t="n">
        <v>46305</v>
      </c>
      <c r="F359" t="inlineStr">
        <is>
          <t>VÄSTRA GÖTALANDS LÄN</t>
        </is>
      </c>
      <c r="G359" t="inlineStr">
        <is>
          <t>FALKÖPING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30526-2026</t>
        </is>
      </c>
      <c r="B360" t="inlineStr">
        <is>
          <t>avverkningsanmälan</t>
        </is>
      </c>
      <c r="C360" t="inlineStr">
        <is>
          <t>Föryngringsavverkning</t>
        </is>
      </c>
      <c r="D360" s="1" t="n">
        <v>46210</v>
      </c>
      <c r="E360" s="1" t="n">
        <v>46305</v>
      </c>
      <c r="F360" t="inlineStr">
        <is>
          <t>VÄSTRA GÖTALANDS LÄN</t>
        </is>
      </c>
      <c r="G360" t="inlineStr">
        <is>
          <t>FALKÖPING</t>
        </is>
      </c>
      <c r="I360" t="n">
        <v>16.8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30686-2026</t>
        </is>
      </c>
      <c r="B361" t="inlineStr">
        <is>
          <t>avverkningsanmälan</t>
        </is>
      </c>
      <c r="C361" t="inlineStr">
        <is>
          <t>Föryngringsavverkning</t>
        </is>
      </c>
      <c r="D361" s="1" t="n">
        <v>46211</v>
      </c>
      <c r="E361" s="1" t="n">
        <v>46305</v>
      </c>
      <c r="F361" t="inlineStr">
        <is>
          <t>VÄSTRA GÖTALANDS LÄN</t>
        </is>
      </c>
      <c r="G361" t="inlineStr">
        <is>
          <t>FALKÖPING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30522-2026</t>
        </is>
      </c>
      <c r="B362" t="inlineStr">
        <is>
          <t>avverkningsanmälan</t>
        </is>
      </c>
      <c r="C362" t="inlineStr">
        <is>
          <t>Föryngringsavverkning</t>
        </is>
      </c>
      <c r="D362" s="1" t="n">
        <v>46210</v>
      </c>
      <c r="E362" s="1" t="n">
        <v>46305</v>
      </c>
      <c r="F362" t="inlineStr">
        <is>
          <t>VÄSTRA GÖTALANDS LÄN</t>
        </is>
      </c>
      <c r="G362" t="inlineStr">
        <is>
          <t>FALKÖPING</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30687-2026</t>
        </is>
      </c>
      <c r="B363" t="inlineStr">
        <is>
          <t>avverkningsanmälan</t>
        </is>
      </c>
      <c r="C363" t="inlineStr">
        <is>
          <t>Föryngringsavverkning</t>
        </is>
      </c>
      <c r="D363" s="1" t="n">
        <v>46211</v>
      </c>
      <c r="E363" s="1" t="n">
        <v>46305</v>
      </c>
      <c r="F363" t="inlineStr">
        <is>
          <t>VÄSTRA GÖTALANDS LÄN</t>
        </is>
      </c>
      <c r="G363" t="inlineStr">
        <is>
          <t>FALKÖPING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2900-2026</t>
        </is>
      </c>
      <c r="B364" t="inlineStr">
        <is>
          <t>avverkningsanmälan</t>
        </is>
      </c>
      <c r="C364" t="inlineStr">
        <is>
          <t>Avverkning för att bevara och utveckla /försöksver</t>
        </is>
      </c>
      <c r="D364" s="1" t="n">
        <v>46038</v>
      </c>
      <c r="E364" s="1" t="n">
        <v>46305</v>
      </c>
      <c r="F364" t="inlineStr">
        <is>
          <t>VÄSTRA GÖTALANDS LÄN</t>
        </is>
      </c>
      <c r="G364" t="inlineStr">
        <is>
          <t>FALKÖPING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31461-2026</t>
        </is>
      </c>
      <c r="B365" t="inlineStr">
        <is>
          <t>avverkningsanmälan</t>
        </is>
      </c>
      <c r="C365" t="inlineStr">
        <is>
          <t>Föryngringsavverkning</t>
        </is>
      </c>
      <c r="D365" s="1" t="n">
        <v>46221</v>
      </c>
      <c r="E365" s="1" t="n">
        <v>46305</v>
      </c>
      <c r="F365" t="inlineStr">
        <is>
          <t>VÄSTRA GÖTALANDS LÄN</t>
        </is>
      </c>
      <c r="G365" t="inlineStr">
        <is>
          <t>FALKÖPING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31462-2026</t>
        </is>
      </c>
      <c r="B366" t="inlineStr">
        <is>
          <t>avverkningsanmälan</t>
        </is>
      </c>
      <c r="C366" t="inlineStr">
        <is>
          <t>Föryngringsavverkning</t>
        </is>
      </c>
      <c r="D366" s="1" t="n">
        <v>46221</v>
      </c>
      <c r="E366" s="1" t="n">
        <v>46305</v>
      </c>
      <c r="F366" t="inlineStr">
        <is>
          <t>VÄSTRA GÖTALANDS LÄN</t>
        </is>
      </c>
      <c r="G366" t="inlineStr">
        <is>
          <t>FALKÖPING</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35616-2026</t>
        </is>
      </c>
      <c r="B367" t="inlineStr">
        <is>
          <t>avverkningsanmälan</t>
        </is>
      </c>
      <c r="C367" t="inlineStr">
        <is>
          <t>Föryngringsavverkning</t>
        </is>
      </c>
      <c r="D367" s="1" t="n">
        <v>46264</v>
      </c>
      <c r="E367" s="1" t="n">
        <v>46305</v>
      </c>
      <c r="F367" t="inlineStr">
        <is>
          <t>VÄSTRA GÖTALANDS LÄN</t>
        </is>
      </c>
      <c r="G367" t="inlineStr">
        <is>
          <t>FALKÖPING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23661-2026</t>
        </is>
      </c>
      <c r="B368" t="inlineStr">
        <is>
          <t>avverkningsanmälan</t>
        </is>
      </c>
      <c r="C368" t="inlineStr">
        <is>
          <t>Avverkning för annat ändamål</t>
        </is>
      </c>
      <c r="D368" s="1" t="n">
        <v>46164</v>
      </c>
      <c r="E368" s="1" t="n">
        <v>46305</v>
      </c>
      <c r="F368" t="inlineStr">
        <is>
          <t>VÄSTRA GÖTALANDS LÄN</t>
        </is>
      </c>
      <c r="G368" t="inlineStr">
        <is>
          <t>FALKÖPING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36426-2026</t>
        </is>
      </c>
      <c r="B369" t="inlineStr">
        <is>
          <t>avverkningsanmälan</t>
        </is>
      </c>
      <c r="C369" t="inlineStr">
        <is>
          <t>Föryngringsavverkning</t>
        </is>
      </c>
      <c r="D369" s="1" t="n">
        <v>46269</v>
      </c>
      <c r="E369" s="1" t="n">
        <v>46305</v>
      </c>
      <c r="F369" t="inlineStr">
        <is>
          <t>VÄSTRA GÖTALANDS LÄN</t>
        </is>
      </c>
      <c r="G369" t="inlineStr">
        <is>
          <t>FALKÖPING</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37206-2026</t>
        </is>
      </c>
      <c r="B370" t="inlineStr">
        <is>
          <t>avverkningsanmälan</t>
        </is>
      </c>
      <c r="C370" t="inlineStr">
        <is>
          <t>Föryngringsavverkning</t>
        </is>
      </c>
      <c r="D370" s="1" t="n">
        <v>46274</v>
      </c>
      <c r="E370" s="1" t="n">
        <v>46305</v>
      </c>
      <c r="F370" t="inlineStr">
        <is>
          <t>VÄSTRA GÖTALANDS LÄN</t>
        </is>
      </c>
      <c r="G370" t="inlineStr">
        <is>
          <t>FALKÖPING</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37203-2026</t>
        </is>
      </c>
      <c r="B371" t="inlineStr">
        <is>
          <t>avverkningsanmälan</t>
        </is>
      </c>
      <c r="C371" t="inlineStr">
        <is>
          <t>Föryngringsavverkning</t>
        </is>
      </c>
      <c r="D371" s="1" t="n">
        <v>46274</v>
      </c>
      <c r="E371" s="1" t="n">
        <v>46305</v>
      </c>
      <c r="F371" t="inlineStr">
        <is>
          <t>VÄSTRA GÖTALANDS LÄN</t>
        </is>
      </c>
      <c r="G371" t="inlineStr">
        <is>
          <t>FALKÖPING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37256-2026</t>
        </is>
      </c>
      <c r="B372" t="inlineStr">
        <is>
          <t>avverkningsanmälan</t>
        </is>
      </c>
      <c r="C372" t="inlineStr">
        <is>
          <t>Föryngringsavverkning</t>
        </is>
      </c>
      <c r="D372" s="1" t="n">
        <v>46274</v>
      </c>
      <c r="E372" s="1" t="n">
        <v>46305</v>
      </c>
      <c r="F372" t="inlineStr">
        <is>
          <t>VÄSTRA GÖTALANDS LÄN</t>
        </is>
      </c>
      <c r="G372" t="inlineStr">
        <is>
          <t>FALKÖPING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37579-2026</t>
        </is>
      </c>
      <c r="B373" t="inlineStr">
        <is>
          <t>avverkningsanmälan</t>
        </is>
      </c>
      <c r="C373" t="inlineStr">
        <is>
          <t>Avverkning för annat ändamål</t>
        </is>
      </c>
      <c r="D373" s="1" t="n">
        <v>46276</v>
      </c>
      <c r="E373" s="1" t="n">
        <v>46305</v>
      </c>
      <c r="F373" t="inlineStr">
        <is>
          <t>VÄSTRA GÖTALANDS LÄN</t>
        </is>
      </c>
      <c r="G373" t="inlineStr">
        <is>
          <t>FALKÖPING</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38867-2026</t>
        </is>
      </c>
      <c r="B374" t="inlineStr">
        <is>
          <t>avverkningsanmälan</t>
        </is>
      </c>
      <c r="C374" t="inlineStr">
        <is>
          <t>Föryngringsavverkning</t>
        </is>
      </c>
      <c r="D374" s="1" t="n">
        <v>46286</v>
      </c>
      <c r="E374" s="1" t="n">
        <v>46305</v>
      </c>
      <c r="F374" t="inlineStr">
        <is>
          <t>VÄSTRA GÖTALANDS LÄN</t>
        </is>
      </c>
      <c r="G374" t="inlineStr">
        <is>
          <t>FALKÖPING</t>
        </is>
      </c>
      <c r="I374" t="n">
        <v>9.1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39082-2026</t>
        </is>
      </c>
      <c r="B375" t="inlineStr">
        <is>
          <t>avverkningsanmälan</t>
        </is>
      </c>
      <c r="C375" t="inlineStr">
        <is>
          <t>Föryngringsavverkning</t>
        </is>
      </c>
      <c r="D375" s="1" t="n">
        <v>46287</v>
      </c>
      <c r="E375" s="1" t="n">
        <v>46305</v>
      </c>
      <c r="F375" t="inlineStr">
        <is>
          <t>VÄSTRA GÖTALANDS LÄN</t>
        </is>
      </c>
      <c r="G375" t="inlineStr">
        <is>
          <t>FALKÖPING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39465-2026</t>
        </is>
      </c>
      <c r="B376" t="inlineStr">
        <is>
          <t>avverkningsanmälan</t>
        </is>
      </c>
      <c r="C376" t="inlineStr">
        <is>
          <t>Föryngringsavverkning</t>
        </is>
      </c>
      <c r="D376" s="1" t="n">
        <v>46288</v>
      </c>
      <c r="E376" s="1" t="n">
        <v>46305</v>
      </c>
      <c r="F376" t="inlineStr">
        <is>
          <t>VÄSTRA GÖTALANDS LÄN</t>
        </is>
      </c>
      <c r="G376" t="inlineStr">
        <is>
          <t>FALKÖPING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39466-2026</t>
        </is>
      </c>
      <c r="B377" t="inlineStr">
        <is>
          <t>avverkningsanmälan</t>
        </is>
      </c>
      <c r="C377" t="inlineStr">
        <is>
          <t>Föryngringsavverkning</t>
        </is>
      </c>
      <c r="D377" s="1" t="n">
        <v>46288</v>
      </c>
      <c r="E377" s="1" t="n">
        <v>46305</v>
      </c>
      <c r="F377" t="inlineStr">
        <is>
          <t>VÄSTRA GÖTALANDS LÄN</t>
        </is>
      </c>
      <c r="G377" t="inlineStr">
        <is>
          <t>FALKÖPING</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39464-2026</t>
        </is>
      </c>
      <c r="B378" t="inlineStr">
        <is>
          <t>avverkningsanmälan</t>
        </is>
      </c>
      <c r="C378" t="inlineStr">
        <is>
          <t>Föryngringsavverkning</t>
        </is>
      </c>
      <c r="D378" s="1" t="n">
        <v>46288</v>
      </c>
      <c r="E378" s="1" t="n">
        <v>46305</v>
      </c>
      <c r="F378" t="inlineStr">
        <is>
          <t>VÄSTRA GÖTALANDS LÄN</t>
        </is>
      </c>
      <c r="G378" t="inlineStr">
        <is>
          <t>FALKÖPING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40250-2026</t>
        </is>
      </c>
      <c r="B379" t="inlineStr">
        <is>
          <t>avverkningsanmälan</t>
        </is>
      </c>
      <c r="C379" t="inlineStr">
        <is>
          <t>Föryngringsavverkning</t>
        </is>
      </c>
      <c r="D379" s="1" t="n">
        <v>46294</v>
      </c>
      <c r="E379" s="1" t="n">
        <v>46305</v>
      </c>
      <c r="F379" t="inlineStr">
        <is>
          <t>VÄSTRA GÖTALANDS LÄN</t>
        </is>
      </c>
      <c r="G379" t="inlineStr">
        <is>
          <t>FALKÖPING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33511-2026</t>
        </is>
      </c>
      <c r="B380" t="inlineStr">
        <is>
          <t>avverkningsanmälan</t>
        </is>
      </c>
      <c r="C380" t="inlineStr">
        <is>
          <t>Föryngringsavverkning</t>
        </is>
      </c>
      <c r="D380" s="1" t="n">
        <v>46248</v>
      </c>
      <c r="E380" s="1" t="n">
        <v>46305</v>
      </c>
      <c r="F380" t="inlineStr">
        <is>
          <t>VÄSTRA GÖTALANDS LÄN</t>
        </is>
      </c>
      <c r="G380" t="inlineStr">
        <is>
          <t>FALKÖPING</t>
        </is>
      </c>
      <c r="H380" t="inlineStr">
        <is>
          <t>Sveaskog</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33972-2026</t>
        </is>
      </c>
      <c r="B381" t="inlineStr">
        <is>
          <t>avverkningsanmälan</t>
        </is>
      </c>
      <c r="C381" t="inlineStr">
        <is>
          <t>Föryngringsavverkning</t>
        </is>
      </c>
      <c r="D381" s="1" t="n">
        <v>46252</v>
      </c>
      <c r="E381" s="1" t="n">
        <v>46305</v>
      </c>
      <c r="F381" t="inlineStr">
        <is>
          <t>VÄSTRA GÖTALANDS LÄN</t>
        </is>
      </c>
      <c r="G381" t="inlineStr">
        <is>
          <t>FALKÖPING</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33983-2026</t>
        </is>
      </c>
      <c r="B382" t="inlineStr">
        <is>
          <t>avverkningsanmälan</t>
        </is>
      </c>
      <c r="C382" t="inlineStr">
        <is>
          <t>Föryngringsavverkning</t>
        </is>
      </c>
      <c r="D382" s="1" t="n">
        <v>46252</v>
      </c>
      <c r="E382" s="1" t="n">
        <v>46305</v>
      </c>
      <c r="F382" t="inlineStr">
        <is>
          <t>VÄSTRA GÖTALANDS LÄN</t>
        </is>
      </c>
      <c r="G382" t="inlineStr">
        <is>
          <t>FALKÖPING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40828-2026</t>
        </is>
      </c>
      <c r="B383" t="inlineStr">
        <is>
          <t>avverkningsanmälan</t>
        </is>
      </c>
      <c r="C383" t="inlineStr">
        <is>
          <t>Föryngringsavverkning</t>
        </is>
      </c>
      <c r="D383" s="1" t="n">
        <v>46296</v>
      </c>
      <c r="E383" s="1" t="n">
        <v>46305</v>
      </c>
      <c r="F383" t="inlineStr">
        <is>
          <t>VÄSTRA GÖTALANDS LÄN</t>
        </is>
      </c>
      <c r="G383" t="inlineStr">
        <is>
          <t>FALKÖPING</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40830-2026</t>
        </is>
      </c>
      <c r="B384" t="inlineStr">
        <is>
          <t>avverkningsanmälan</t>
        </is>
      </c>
      <c r="C384" t="inlineStr">
        <is>
          <t>Föryngringsavverkning</t>
        </is>
      </c>
      <c r="D384" s="1" t="n">
        <v>46296</v>
      </c>
      <c r="E384" s="1" t="n">
        <v>46305</v>
      </c>
      <c r="F384" t="inlineStr">
        <is>
          <t>VÄSTRA GÖTALANDS LÄN</t>
        </is>
      </c>
      <c r="G384" t="inlineStr">
        <is>
          <t>FALKÖPING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40834-2026</t>
        </is>
      </c>
      <c r="B385" t="inlineStr">
        <is>
          <t>avverkningsanmälan</t>
        </is>
      </c>
      <c r="C385" t="inlineStr">
        <is>
          <t>Föryngringsavverkning</t>
        </is>
      </c>
      <c r="D385" s="1" t="n">
        <v>46296</v>
      </c>
      <c r="E385" s="1" t="n">
        <v>46305</v>
      </c>
      <c r="F385" t="inlineStr">
        <is>
          <t>VÄSTRA GÖTALANDS LÄN</t>
        </is>
      </c>
      <c r="G385" t="inlineStr">
        <is>
          <t>FALKÖPING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33977-2026</t>
        </is>
      </c>
      <c r="B386" t="inlineStr">
        <is>
          <t>avverkningsanmälan</t>
        </is>
      </c>
      <c r="C386" t="inlineStr">
        <is>
          <t>Föryngringsavverkning</t>
        </is>
      </c>
      <c r="D386" s="1" t="n">
        <v>46252</v>
      </c>
      <c r="E386" s="1" t="n">
        <v>46305</v>
      </c>
      <c r="F386" t="inlineStr">
        <is>
          <t>VÄSTRA GÖTALANDS LÄN</t>
        </is>
      </c>
      <c r="G386" t="inlineStr">
        <is>
          <t>FALKÖPING</t>
        </is>
      </c>
      <c r="I386" t="n">
        <v>11.2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40717-2026</t>
        </is>
      </c>
      <c r="B387" t="inlineStr">
        <is>
          <t>avverkningsanmälan</t>
        </is>
      </c>
      <c r="C387" t="inlineStr">
        <is>
          <t>Föryngringsavverkning</t>
        </is>
      </c>
      <c r="D387" s="1" t="n">
        <v>46296</v>
      </c>
      <c r="E387" s="1" t="n">
        <v>46305</v>
      </c>
      <c r="F387" t="inlineStr">
        <is>
          <t>VÄSTRA GÖTALANDS LÄN</t>
        </is>
      </c>
      <c r="G387" t="inlineStr">
        <is>
          <t>FALKÖPING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40728-2026</t>
        </is>
      </c>
      <c r="B388" t="inlineStr">
        <is>
          <t>avverkningsanmälan</t>
        </is>
      </c>
      <c r="C388" t="inlineStr">
        <is>
          <t>Föryngringsavverkning</t>
        </is>
      </c>
      <c r="D388" s="1" t="n">
        <v>46296</v>
      </c>
      <c r="E388" s="1" t="n">
        <v>46305</v>
      </c>
      <c r="F388" t="inlineStr">
        <is>
          <t>VÄSTRA GÖTALANDS LÄN</t>
        </is>
      </c>
      <c r="G388" t="inlineStr">
        <is>
          <t>FALKÖPING</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40838-2026</t>
        </is>
      </c>
      <c r="B389" t="inlineStr">
        <is>
          <t>avverkningsanmälan</t>
        </is>
      </c>
      <c r="C389" t="inlineStr">
        <is>
          <t>Föryngringsavverkning</t>
        </is>
      </c>
      <c r="D389" s="1" t="n">
        <v>46296</v>
      </c>
      <c r="E389" s="1" t="n">
        <v>46305</v>
      </c>
      <c r="F389" t="inlineStr">
        <is>
          <t>VÄSTRA GÖTALANDS LÄN</t>
        </is>
      </c>
      <c r="G389" t="inlineStr">
        <is>
          <t>FALKÖPING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40841-2026</t>
        </is>
      </c>
      <c r="B390" t="inlineStr">
        <is>
          <t>avverkningsanmälan</t>
        </is>
      </c>
      <c r="C390" t="inlineStr">
        <is>
          <t>Föryngringsavverkning</t>
        </is>
      </c>
      <c r="D390" s="1" t="n">
        <v>46296</v>
      </c>
      <c r="E390" s="1" t="n">
        <v>46305</v>
      </c>
      <c r="F390" t="inlineStr">
        <is>
          <t>VÄSTRA GÖTALANDS LÄN</t>
        </is>
      </c>
      <c r="G390" t="inlineStr">
        <is>
          <t>FALKÖPING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33980-2026</t>
        </is>
      </c>
      <c r="B391" t="inlineStr">
        <is>
          <t>avverkningsanmälan</t>
        </is>
      </c>
      <c r="C391" t="inlineStr">
        <is>
          <t>Föryngringsavverkning</t>
        </is>
      </c>
      <c r="D391" s="1" t="n">
        <v>46252</v>
      </c>
      <c r="E391" s="1" t="n">
        <v>46305</v>
      </c>
      <c r="F391" t="inlineStr">
        <is>
          <t>VÄSTRA GÖTALANDS LÄN</t>
        </is>
      </c>
      <c r="G391" t="inlineStr">
        <is>
          <t>FALKÖPING</t>
        </is>
      </c>
      <c r="I391" t="n">
        <v>10</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33964-2026</t>
        </is>
      </c>
      <c r="B392" t="inlineStr">
        <is>
          <t>avverkningsanmälan</t>
        </is>
      </c>
      <c r="C392" t="inlineStr">
        <is>
          <t>Föryngringsavverkning</t>
        </is>
      </c>
      <c r="D392" s="1" t="n">
        <v>46252</v>
      </c>
      <c r="E392" s="1" t="n">
        <v>46305</v>
      </c>
      <c r="F392" t="inlineStr">
        <is>
          <t>VÄSTRA GÖTALANDS LÄN</t>
        </is>
      </c>
      <c r="G392" t="inlineStr">
        <is>
          <t>FALKÖPING</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34446-2026</t>
        </is>
      </c>
      <c r="B393" t="inlineStr">
        <is>
          <t>avverkningsanmälan</t>
        </is>
      </c>
      <c r="C393" t="inlineStr">
        <is>
          <t>Avverkning för annat ändamål</t>
        </is>
      </c>
      <c r="D393" s="1" t="n">
        <v>46254</v>
      </c>
      <c r="E393" s="1" t="n">
        <v>46305</v>
      </c>
      <c r="F393" t="inlineStr">
        <is>
          <t>VÄSTRA GÖTALANDS LÄN</t>
        </is>
      </c>
      <c r="G393" t="inlineStr">
        <is>
          <t>FALKÖPING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41649-2026</t>
        </is>
      </c>
      <c r="B394" t="inlineStr">
        <is>
          <t>avverkningsanmälan</t>
        </is>
      </c>
      <c r="C394" t="inlineStr">
        <is>
          <t>Avverkning för annat ändamål</t>
        </is>
      </c>
      <c r="D394" s="1" t="n">
        <v>46302</v>
      </c>
      <c r="E394" s="1" t="n">
        <v>46305</v>
      </c>
      <c r="F394" t="inlineStr">
        <is>
          <t>VÄSTRA GÖTALANDS LÄN</t>
        </is>
      </c>
      <c r="G394" t="inlineStr">
        <is>
          <t>FALKÖPING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41540-2026</t>
        </is>
      </c>
      <c r="B395" t="inlineStr">
        <is>
          <t>avverkningsanmälan</t>
        </is>
      </c>
      <c r="C395" t="inlineStr">
        <is>
          <t>Föryngringsavverkning</t>
        </is>
      </c>
      <c r="D395" s="1" t="n">
        <v>46301</v>
      </c>
      <c r="E395" s="1" t="n">
        <v>46305</v>
      </c>
      <c r="F395" t="inlineStr">
        <is>
          <t>VÄSTRA GÖTALANDS LÄN</t>
        </is>
      </c>
      <c r="G395" t="inlineStr">
        <is>
          <t>FALKÖPING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42084-2026</t>
        </is>
      </c>
      <c r="B396" t="inlineStr">
        <is>
          <t>avverkningsanmälan</t>
        </is>
      </c>
      <c r="C396" t="inlineStr">
        <is>
          <t>Föryngringsavverkning</t>
        </is>
      </c>
      <c r="D396" s="1" t="n">
        <v>46304</v>
      </c>
      <c r="E396" s="1" t="n">
        <v>46305</v>
      </c>
      <c r="F396" t="inlineStr">
        <is>
          <t>VÄSTRA GÖTALANDS LÄN</t>
        </is>
      </c>
      <c r="G396" t="inlineStr">
        <is>
          <t>FALKÖPING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46305</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46305</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46305</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46305</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46305</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46305</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46305</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46305</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46305</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2026-10-10T02:01:05Z</dcterms:created>
  <dcterms:modified xmlns:dcterms="http://purl.org/dc/terms/" xmlns:xsi="http://www.w3.org/2001/XMLSchema-instance" xsi:type="dcterms:W3CDTF">2026-10-10T02:01:05Z</dcterms:modified>
</cp:coreProperties>
</file>