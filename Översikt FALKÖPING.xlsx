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46200</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46200</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46200</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29012-2024</t>
        </is>
      </c>
      <c r="B5" s="1" t="n">
        <v>45478</v>
      </c>
      <c r="C5" s="1" t="n">
        <v>46200</v>
      </c>
      <c r="D5" t="inlineStr">
        <is>
          <t>VÄSTRA GÖTALANDS LÄN</t>
        </is>
      </c>
      <c r="E5" t="inlineStr">
        <is>
          <t>FALKÖPING</t>
        </is>
      </c>
      <c r="G5" t="n">
        <v>3.8</v>
      </c>
      <c r="H5" t="n">
        <v>8</v>
      </c>
      <c r="I5" t="n">
        <v>0</v>
      </c>
      <c r="J5" t="n">
        <v>4</v>
      </c>
      <c r="K5" t="n">
        <v>1</v>
      </c>
      <c r="L5" t="n">
        <v>0</v>
      </c>
      <c r="M5" t="n">
        <v>0</v>
      </c>
      <c r="N5" t="n">
        <v>0</v>
      </c>
      <c r="O5" t="n">
        <v>5</v>
      </c>
      <c r="P5" t="n">
        <v>1</v>
      </c>
      <c r="Q5" t="n">
        <v>8</v>
      </c>
      <c r="R5" s="2" t="inlineStr">
        <is>
          <t>Grönfink
Björktrast
Gulsparv
Sparvuggla
Talltita
Grönsiska
Kråka
Kungsfågel</t>
        </is>
      </c>
      <c r="S5">
        <f>HYPERLINK("https://klasma.github.io/Logging_1499/artfynd/A 29012-2024 artfynd.xlsx", "A 29012-2024")</f>
        <v/>
      </c>
      <c r="T5">
        <f>HYPERLINK("https://klasma.github.io/Logging_1499/kartor/A 29012-2024 karta.png", "A 29012-2024")</f>
        <v/>
      </c>
      <c r="V5">
        <f>HYPERLINK("https://klasma.github.io/Logging_1499/klagomål/A 29012-2024 FSC-klagomål.docx", "A 29012-2024")</f>
        <v/>
      </c>
      <c r="W5">
        <f>HYPERLINK("https://klasma.github.io/Logging_1499/klagomålsmail/A 29012-2024 FSC-klagomål mail.docx", "A 29012-2024")</f>
        <v/>
      </c>
      <c r="X5">
        <f>HYPERLINK("https://klasma.github.io/Logging_1499/tillsyn/A 29012-2024 tillsynsbegäran.docx", "A 29012-2024")</f>
        <v/>
      </c>
      <c r="Y5">
        <f>HYPERLINK("https://klasma.github.io/Logging_1499/tillsynsmail/A 29012-2024 tillsynsbegäran mail.docx", "A 29012-2024")</f>
        <v/>
      </c>
      <c r="Z5">
        <f>HYPERLINK("https://klasma.github.io/Logging_1499/fåglar/A 29012-2024 prioriterade fågelarter.docx", "A 29012-2024")</f>
        <v/>
      </c>
    </row>
    <row r="6" ht="15" customHeight="1">
      <c r="A6" t="inlineStr">
        <is>
          <t>A 42900-2021</t>
        </is>
      </c>
      <c r="B6" s="1" t="n">
        <v>44428</v>
      </c>
      <c r="C6" s="1" t="n">
        <v>46200</v>
      </c>
      <c r="D6" t="inlineStr">
        <is>
          <t>VÄSTRA GÖTALANDS LÄN</t>
        </is>
      </c>
      <c r="E6" t="inlineStr">
        <is>
          <t>FALKÖPING</t>
        </is>
      </c>
      <c r="G6" t="n">
        <v>8.699999999999999</v>
      </c>
      <c r="H6" t="n">
        <v>7</v>
      </c>
      <c r="I6" t="n">
        <v>2</v>
      </c>
      <c r="J6" t="n">
        <v>3</v>
      </c>
      <c r="K6" t="n">
        <v>0</v>
      </c>
      <c r="L6" t="n">
        <v>0</v>
      </c>
      <c r="M6" t="n">
        <v>0</v>
      </c>
      <c r="N6" t="n">
        <v>0</v>
      </c>
      <c r="O6" t="n">
        <v>3</v>
      </c>
      <c r="P6" t="n">
        <v>0</v>
      </c>
      <c r="Q6" t="n">
        <v>8</v>
      </c>
      <c r="R6" s="2" t="inlineStr">
        <is>
          <t>Bivråk
Göktyta
Rosenfink
Kransrams
Nästrot
Spillkråka
Törnskata
Fläcknycklar</t>
        </is>
      </c>
      <c r="S6">
        <f>HYPERLINK("https://klasma.github.io/Logging_1499/artfynd/A 42900-2021 artfynd.xlsx", "A 42900-2021")</f>
        <v/>
      </c>
      <c r="T6">
        <f>HYPERLINK("https://klasma.github.io/Logging_1499/kartor/A 42900-2021 karta.png", "A 42900-2021")</f>
        <v/>
      </c>
      <c r="V6">
        <f>HYPERLINK("https://klasma.github.io/Logging_1499/klagomål/A 42900-2021 FSC-klagomål.docx", "A 42900-2021")</f>
        <v/>
      </c>
      <c r="W6">
        <f>HYPERLINK("https://klasma.github.io/Logging_1499/klagomålsmail/A 42900-2021 FSC-klagomål mail.docx", "A 42900-2021")</f>
        <v/>
      </c>
      <c r="X6">
        <f>HYPERLINK("https://klasma.github.io/Logging_1499/tillsyn/A 42900-2021 tillsynsbegäran.docx", "A 42900-2021")</f>
        <v/>
      </c>
      <c r="Y6">
        <f>HYPERLINK("https://klasma.github.io/Logging_1499/tillsynsmail/A 42900-2021 tillsynsbegäran mail.docx", "A 42900-2021")</f>
        <v/>
      </c>
      <c r="Z6">
        <f>HYPERLINK("https://klasma.github.io/Logging_1499/fåglar/A 42900-2021 prioriterade fågelarter.docx", "A 42900-2021")</f>
        <v/>
      </c>
    </row>
    <row r="7" ht="15" customHeight="1">
      <c r="A7" t="inlineStr">
        <is>
          <t>A 42509-2021</t>
        </is>
      </c>
      <c r="B7" s="1" t="n">
        <v>44427</v>
      </c>
      <c r="C7" s="1" t="n">
        <v>46200</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3607-2023</t>
        </is>
      </c>
      <c r="B8" s="1" t="n">
        <v>44950</v>
      </c>
      <c r="C8" s="1" t="n">
        <v>46200</v>
      </c>
      <c r="D8" t="inlineStr">
        <is>
          <t>VÄSTRA GÖTALANDS LÄN</t>
        </is>
      </c>
      <c r="E8" t="inlineStr">
        <is>
          <t>FALKÖPING</t>
        </is>
      </c>
      <c r="F8" t="inlineStr">
        <is>
          <t>Kommuner</t>
        </is>
      </c>
      <c r="G8" t="n">
        <v>4.1</v>
      </c>
      <c r="H8" t="n">
        <v>3</v>
      </c>
      <c r="I8" t="n">
        <v>0</v>
      </c>
      <c r="J8" t="n">
        <v>3</v>
      </c>
      <c r="K8" t="n">
        <v>0</v>
      </c>
      <c r="L8" t="n">
        <v>0</v>
      </c>
      <c r="M8" t="n">
        <v>0</v>
      </c>
      <c r="N8" t="n">
        <v>0</v>
      </c>
      <c r="O8" t="n">
        <v>3</v>
      </c>
      <c r="P8" t="n">
        <v>0</v>
      </c>
      <c r="Q8" t="n">
        <v>5</v>
      </c>
      <c r="R8" s="2" t="inlineStr">
        <is>
          <t>Backtimjan
Entita
Jordtistel
Grönvit nattviol
Gullviva</t>
        </is>
      </c>
      <c r="S8">
        <f>HYPERLINK("https://klasma.github.io/Logging_1499/artfynd/A 3607-2023 artfynd.xlsx", "A 3607-2023")</f>
        <v/>
      </c>
      <c r="T8">
        <f>HYPERLINK("https://klasma.github.io/Logging_1499/kartor/A 3607-2023 karta.png", "A 3607-2023")</f>
        <v/>
      </c>
      <c r="V8">
        <f>HYPERLINK("https://klasma.github.io/Logging_1499/klagomål/A 3607-2023 FSC-klagomål.docx", "A 3607-2023")</f>
        <v/>
      </c>
      <c r="W8">
        <f>HYPERLINK("https://klasma.github.io/Logging_1499/klagomålsmail/A 3607-2023 FSC-klagomål mail.docx", "A 3607-2023")</f>
        <v/>
      </c>
      <c r="X8">
        <f>HYPERLINK("https://klasma.github.io/Logging_1499/tillsyn/A 3607-2023 tillsynsbegäran.docx", "A 3607-2023")</f>
        <v/>
      </c>
      <c r="Y8">
        <f>HYPERLINK("https://klasma.github.io/Logging_1499/tillsynsmail/A 3607-2023 tillsynsbegäran mail.docx", "A 3607-2023")</f>
        <v/>
      </c>
      <c r="Z8">
        <f>HYPERLINK("https://klasma.github.io/Logging_1499/fåglar/A 3607-2023 prioriterade fågelarter.docx", "A 3607-2023")</f>
        <v/>
      </c>
    </row>
    <row r="9" ht="15" customHeight="1">
      <c r="A9" t="inlineStr">
        <is>
          <t>A 35495-2025</t>
        </is>
      </c>
      <c r="B9" s="1" t="n">
        <v>45855</v>
      </c>
      <c r="C9" s="1" t="n">
        <v>46200</v>
      </c>
      <c r="D9" t="inlineStr">
        <is>
          <t>VÄSTRA GÖTALANDS LÄN</t>
        </is>
      </c>
      <c r="E9" t="inlineStr">
        <is>
          <t>FALKÖPING</t>
        </is>
      </c>
      <c r="G9" t="n">
        <v>16.3</v>
      </c>
      <c r="H9" t="n">
        <v>1</v>
      </c>
      <c r="I9" t="n">
        <v>2</v>
      </c>
      <c r="J9" t="n">
        <v>2</v>
      </c>
      <c r="K9" t="n">
        <v>0</v>
      </c>
      <c r="L9" t="n">
        <v>0</v>
      </c>
      <c r="M9" t="n">
        <v>0</v>
      </c>
      <c r="N9" t="n">
        <v>0</v>
      </c>
      <c r="O9" t="n">
        <v>2</v>
      </c>
      <c r="P9" t="n">
        <v>0</v>
      </c>
      <c r="Q9" t="n">
        <v>5</v>
      </c>
      <c r="R9" s="2" t="inlineStr">
        <is>
          <t>Desmeknopp
Vårärt
Kransrams
Svart trolldruva
Blåsippa</t>
        </is>
      </c>
      <c r="S9">
        <f>HYPERLINK("https://klasma.github.io/Logging_1499/artfynd/A 35495-2025 artfynd.xlsx", "A 35495-2025")</f>
        <v/>
      </c>
      <c r="T9">
        <f>HYPERLINK("https://klasma.github.io/Logging_1499/kartor/A 35495-2025 karta.png", "A 35495-2025")</f>
        <v/>
      </c>
      <c r="V9">
        <f>HYPERLINK("https://klasma.github.io/Logging_1499/klagomål/A 35495-2025 FSC-klagomål.docx", "A 35495-2025")</f>
        <v/>
      </c>
      <c r="W9">
        <f>HYPERLINK("https://klasma.github.io/Logging_1499/klagomålsmail/A 35495-2025 FSC-klagomål mail.docx", "A 35495-2025")</f>
        <v/>
      </c>
      <c r="X9">
        <f>HYPERLINK("https://klasma.github.io/Logging_1499/tillsyn/A 35495-2025 tillsynsbegäran.docx", "A 35495-2025")</f>
        <v/>
      </c>
      <c r="Y9">
        <f>HYPERLINK("https://klasma.github.io/Logging_1499/tillsynsmail/A 35495-2025 tillsynsbegäran mail.docx", "A 35495-2025")</f>
        <v/>
      </c>
    </row>
    <row r="10" ht="15" customHeight="1">
      <c r="A10" t="inlineStr">
        <is>
          <t>A 1521-2026</t>
        </is>
      </c>
      <c r="B10" s="1" t="n">
        <v>46034</v>
      </c>
      <c r="C10" s="1" t="n">
        <v>46200</v>
      </c>
      <c r="D10" t="inlineStr">
        <is>
          <t>VÄSTRA GÖTALANDS LÄN</t>
        </is>
      </c>
      <c r="E10" t="inlineStr">
        <is>
          <t>FALKÖPING</t>
        </is>
      </c>
      <c r="G10" t="n">
        <v>3.2</v>
      </c>
      <c r="H10" t="n">
        <v>1</v>
      </c>
      <c r="I10" t="n">
        <v>3</v>
      </c>
      <c r="J10" t="n">
        <v>1</v>
      </c>
      <c r="K10" t="n">
        <v>0</v>
      </c>
      <c r="L10" t="n">
        <v>0</v>
      </c>
      <c r="M10" t="n">
        <v>0</v>
      </c>
      <c r="N10" t="n">
        <v>0</v>
      </c>
      <c r="O10" t="n">
        <v>1</v>
      </c>
      <c r="P10" t="n">
        <v>0</v>
      </c>
      <c r="Q10" t="n">
        <v>5</v>
      </c>
      <c r="R10" s="2" t="inlineStr">
        <is>
          <t>Jordtistel
Blåmossa
Brandticka
Svavelriska
Grönvit nattviol</t>
        </is>
      </c>
      <c r="S10">
        <f>HYPERLINK("https://klasma.github.io/Logging_1499/artfynd/A 1521-2026 artfynd.xlsx", "A 1521-2026")</f>
        <v/>
      </c>
      <c r="T10">
        <f>HYPERLINK("https://klasma.github.io/Logging_1499/kartor/A 1521-2026 karta.png", "A 1521-2026")</f>
        <v/>
      </c>
      <c r="V10">
        <f>HYPERLINK("https://klasma.github.io/Logging_1499/klagomål/A 1521-2026 FSC-klagomål.docx", "A 1521-2026")</f>
        <v/>
      </c>
      <c r="W10">
        <f>HYPERLINK("https://klasma.github.io/Logging_1499/klagomålsmail/A 1521-2026 FSC-klagomål mail.docx", "A 1521-2026")</f>
        <v/>
      </c>
      <c r="X10">
        <f>HYPERLINK("https://klasma.github.io/Logging_1499/tillsyn/A 1521-2026 tillsynsbegäran.docx", "A 1521-2026")</f>
        <v/>
      </c>
      <c r="Y10">
        <f>HYPERLINK("https://klasma.github.io/Logging_1499/tillsynsmail/A 1521-2026 tillsynsbegäran mail.docx", "A 1521-2026")</f>
        <v/>
      </c>
    </row>
    <row r="11" ht="15" customHeight="1">
      <c r="A11" t="inlineStr">
        <is>
          <t>A 30609-2025</t>
        </is>
      </c>
      <c r="B11" s="1" t="n">
        <v>45831</v>
      </c>
      <c r="C11" s="1" t="n">
        <v>46200</v>
      </c>
      <c r="D11" t="inlineStr">
        <is>
          <t>VÄSTRA GÖTALANDS LÄN</t>
        </is>
      </c>
      <c r="E11" t="inlineStr">
        <is>
          <t>FALKÖPING</t>
        </is>
      </c>
      <c r="G11" t="n">
        <v>16.3</v>
      </c>
      <c r="H11" t="n">
        <v>1</v>
      </c>
      <c r="I11" t="n">
        <v>2</v>
      </c>
      <c r="J11" t="n">
        <v>2</v>
      </c>
      <c r="K11" t="n">
        <v>0</v>
      </c>
      <c r="L11" t="n">
        <v>0</v>
      </c>
      <c r="M11" t="n">
        <v>0</v>
      </c>
      <c r="N11" t="n">
        <v>0</v>
      </c>
      <c r="O11" t="n">
        <v>2</v>
      </c>
      <c r="P11" t="n">
        <v>0</v>
      </c>
      <c r="Q11" t="n">
        <v>5</v>
      </c>
      <c r="R11" s="2" t="inlineStr">
        <is>
          <t>Desmeknopp
Vårärt
Kransrams
Svart trolldruva
Blåsippa</t>
        </is>
      </c>
      <c r="S11">
        <f>HYPERLINK("https://klasma.github.io/Logging_1499/artfynd/A 30609-2025 artfynd.xlsx", "A 30609-2025")</f>
        <v/>
      </c>
      <c r="T11">
        <f>HYPERLINK("https://klasma.github.io/Logging_1499/kartor/A 30609-2025 karta.png", "A 30609-2025")</f>
        <v/>
      </c>
      <c r="V11">
        <f>HYPERLINK("https://klasma.github.io/Logging_1499/klagomål/A 30609-2025 FSC-klagomål.docx", "A 30609-2025")</f>
        <v/>
      </c>
      <c r="W11">
        <f>HYPERLINK("https://klasma.github.io/Logging_1499/klagomålsmail/A 30609-2025 FSC-klagomål mail.docx", "A 30609-2025")</f>
        <v/>
      </c>
      <c r="X11">
        <f>HYPERLINK("https://klasma.github.io/Logging_1499/tillsyn/A 30609-2025 tillsynsbegäran.docx", "A 30609-2025")</f>
        <v/>
      </c>
      <c r="Y11">
        <f>HYPERLINK("https://klasma.github.io/Logging_1499/tillsynsmail/A 30609-2025 tillsynsbegäran mail.docx", "A 30609-2025")</f>
        <v/>
      </c>
    </row>
    <row r="12" ht="15" customHeight="1">
      <c r="A12" t="inlineStr">
        <is>
          <t>A 3700-2024</t>
        </is>
      </c>
      <c r="B12" s="1" t="n">
        <v>45321</v>
      </c>
      <c r="C12" s="1" t="n">
        <v>46200</v>
      </c>
      <c r="D12" t="inlineStr">
        <is>
          <t>VÄSTRA GÖTALANDS LÄN</t>
        </is>
      </c>
      <c r="E12" t="inlineStr">
        <is>
          <t>FALKÖPING</t>
        </is>
      </c>
      <c r="F12" t="inlineStr">
        <is>
          <t>Kommuner</t>
        </is>
      </c>
      <c r="G12" t="n">
        <v>0.8</v>
      </c>
      <c r="H12" t="n">
        <v>0</v>
      </c>
      <c r="I12" t="n">
        <v>1</v>
      </c>
      <c r="J12" t="n">
        <v>1</v>
      </c>
      <c r="K12" t="n">
        <v>0</v>
      </c>
      <c r="L12" t="n">
        <v>2</v>
      </c>
      <c r="M12" t="n">
        <v>0</v>
      </c>
      <c r="N12" t="n">
        <v>0</v>
      </c>
      <c r="O12" t="n">
        <v>3</v>
      </c>
      <c r="P12" t="n">
        <v>2</v>
      </c>
      <c r="Q12" t="n">
        <v>4</v>
      </c>
      <c r="R12" s="2" t="inlineStr">
        <is>
          <t>Ask
Skogsalm
Jordtistel
Tibast</t>
        </is>
      </c>
      <c r="S12">
        <f>HYPERLINK("https://klasma.github.io/Logging_1499/artfynd/A 3700-2024 artfynd.xlsx", "A 3700-2024")</f>
        <v/>
      </c>
      <c r="T12">
        <f>HYPERLINK("https://klasma.github.io/Logging_1499/kartor/A 3700-2024 karta.png", "A 3700-2024")</f>
        <v/>
      </c>
      <c r="V12">
        <f>HYPERLINK("https://klasma.github.io/Logging_1499/klagomål/A 3700-2024 FSC-klagomål.docx", "A 3700-2024")</f>
        <v/>
      </c>
      <c r="W12">
        <f>HYPERLINK("https://klasma.github.io/Logging_1499/klagomålsmail/A 3700-2024 FSC-klagomål mail.docx", "A 3700-2024")</f>
        <v/>
      </c>
      <c r="X12">
        <f>HYPERLINK("https://klasma.github.io/Logging_1499/tillsyn/A 3700-2024 tillsynsbegäran.docx", "A 3700-2024")</f>
        <v/>
      </c>
      <c r="Y12">
        <f>HYPERLINK("https://klasma.github.io/Logging_1499/tillsynsmail/A 3700-2024 tillsynsbegäran mail.docx", "A 3700-2024")</f>
        <v/>
      </c>
    </row>
    <row r="13" ht="15" customHeight="1">
      <c r="A13" t="inlineStr">
        <is>
          <t>A 20314-2026</t>
        </is>
      </c>
      <c r="B13" s="1" t="n">
        <v>46139</v>
      </c>
      <c r="C13" s="1" t="n">
        <v>46200</v>
      </c>
      <c r="D13" t="inlineStr">
        <is>
          <t>VÄSTRA GÖTALANDS LÄN</t>
        </is>
      </c>
      <c r="E13" t="inlineStr">
        <is>
          <t>FALKÖPING</t>
        </is>
      </c>
      <c r="G13" t="n">
        <v>6.3</v>
      </c>
      <c r="H13" t="n">
        <v>1</v>
      </c>
      <c r="I13" t="n">
        <v>0</v>
      </c>
      <c r="J13" t="n">
        <v>2</v>
      </c>
      <c r="K13" t="n">
        <v>2</v>
      </c>
      <c r="L13" t="n">
        <v>0</v>
      </c>
      <c r="M13" t="n">
        <v>0</v>
      </c>
      <c r="N13" t="n">
        <v>0</v>
      </c>
      <c r="O13" t="n">
        <v>4</v>
      </c>
      <c r="P13" t="n">
        <v>2</v>
      </c>
      <c r="Q13" t="n">
        <v>4</v>
      </c>
      <c r="R13" s="2" t="inlineStr">
        <is>
          <t>Mindre blåvinge
Violettkantad guldvinge
Mindre tåtelsmygare
Talltita</t>
        </is>
      </c>
      <c r="S13">
        <f>HYPERLINK("https://klasma.github.io/Logging_1499/artfynd/A 20314-2026 artfynd.xlsx", "A 20314-2026")</f>
        <v/>
      </c>
      <c r="T13">
        <f>HYPERLINK("https://klasma.github.io/Logging_1499/kartor/A 20314-2026 karta.png", "A 20314-2026")</f>
        <v/>
      </c>
      <c r="V13">
        <f>HYPERLINK("https://klasma.github.io/Logging_1499/klagomål/A 20314-2026 FSC-klagomål.docx", "A 20314-2026")</f>
        <v/>
      </c>
      <c r="W13">
        <f>HYPERLINK("https://klasma.github.io/Logging_1499/klagomålsmail/A 20314-2026 FSC-klagomål mail.docx", "A 20314-2026")</f>
        <v/>
      </c>
      <c r="X13">
        <f>HYPERLINK("https://klasma.github.io/Logging_1499/tillsyn/A 20314-2026 tillsynsbegäran.docx", "A 20314-2026")</f>
        <v/>
      </c>
      <c r="Y13">
        <f>HYPERLINK("https://klasma.github.io/Logging_1499/tillsynsmail/A 20314-2026 tillsynsbegäran mail.docx", "A 20314-2026")</f>
        <v/>
      </c>
      <c r="Z13">
        <f>HYPERLINK("https://klasma.github.io/Logging_1499/fåglar/A 20314-2026 prioriterade fågelarter.docx", "A 20314-2026")</f>
        <v/>
      </c>
    </row>
    <row r="14" ht="15" customHeight="1">
      <c r="A14" t="inlineStr">
        <is>
          <t>A 39349-2024</t>
        </is>
      </c>
      <c r="B14" s="1" t="n">
        <v>45551</v>
      </c>
      <c r="C14" s="1" t="n">
        <v>46200</v>
      </c>
      <c r="D14" t="inlineStr">
        <is>
          <t>VÄSTRA GÖTALANDS LÄN</t>
        </is>
      </c>
      <c r="E14" t="inlineStr">
        <is>
          <t>FALKÖPING</t>
        </is>
      </c>
      <c r="G14" t="n">
        <v>2.2</v>
      </c>
      <c r="H14" t="n">
        <v>0</v>
      </c>
      <c r="I14" t="n">
        <v>2</v>
      </c>
      <c r="J14" t="n">
        <v>1</v>
      </c>
      <c r="K14" t="n">
        <v>0</v>
      </c>
      <c r="L14" t="n">
        <v>0</v>
      </c>
      <c r="M14" t="n">
        <v>0</v>
      </c>
      <c r="N14" t="n">
        <v>0</v>
      </c>
      <c r="O14" t="n">
        <v>1</v>
      </c>
      <c r="P14" t="n">
        <v>0</v>
      </c>
      <c r="Q14" t="n">
        <v>3</v>
      </c>
      <c r="R14" s="2" t="inlineStr">
        <is>
          <t>Klasefibbla
Svart trolldruva
Tibast</t>
        </is>
      </c>
      <c r="S14">
        <f>HYPERLINK("https://klasma.github.io/Logging_1499/artfynd/A 39349-2024 artfynd.xlsx", "A 39349-2024")</f>
        <v/>
      </c>
      <c r="T14">
        <f>HYPERLINK("https://klasma.github.io/Logging_1499/kartor/A 39349-2024 karta.png", "A 39349-2024")</f>
        <v/>
      </c>
      <c r="V14">
        <f>HYPERLINK("https://klasma.github.io/Logging_1499/klagomål/A 39349-2024 FSC-klagomål.docx", "A 39349-2024")</f>
        <v/>
      </c>
      <c r="W14">
        <f>HYPERLINK("https://klasma.github.io/Logging_1499/klagomålsmail/A 39349-2024 FSC-klagomål mail.docx", "A 39349-2024")</f>
        <v/>
      </c>
      <c r="X14">
        <f>HYPERLINK("https://klasma.github.io/Logging_1499/tillsyn/A 39349-2024 tillsynsbegäran.docx", "A 39349-2024")</f>
        <v/>
      </c>
      <c r="Y14">
        <f>HYPERLINK("https://klasma.github.io/Logging_1499/tillsynsmail/A 39349-2024 tillsynsbegäran mail.docx", "A 39349-2024")</f>
        <v/>
      </c>
    </row>
    <row r="15" ht="15" customHeight="1">
      <c r="A15" t="inlineStr">
        <is>
          <t>A 61458-2023</t>
        </is>
      </c>
      <c r="B15" s="1" t="n">
        <v>45264</v>
      </c>
      <c r="C15" s="1" t="n">
        <v>46200</v>
      </c>
      <c r="D15" t="inlineStr">
        <is>
          <t>VÄSTRA GÖTALANDS LÄN</t>
        </is>
      </c>
      <c r="E15" t="inlineStr">
        <is>
          <t>FALKÖPING</t>
        </is>
      </c>
      <c r="G15" t="n">
        <v>0.8</v>
      </c>
      <c r="H15" t="n">
        <v>1</v>
      </c>
      <c r="I15" t="n">
        <v>1</v>
      </c>
      <c r="J15" t="n">
        <v>0</v>
      </c>
      <c r="K15" t="n">
        <v>0</v>
      </c>
      <c r="L15" t="n">
        <v>1</v>
      </c>
      <c r="M15" t="n">
        <v>0</v>
      </c>
      <c r="N15" t="n">
        <v>0</v>
      </c>
      <c r="O15" t="n">
        <v>1</v>
      </c>
      <c r="P15" t="n">
        <v>1</v>
      </c>
      <c r="Q15" t="n">
        <v>3</v>
      </c>
      <c r="R15" s="2" t="inlineStr">
        <is>
          <t>Skogsalm
Blåmossa
Blåsippa</t>
        </is>
      </c>
      <c r="S15">
        <f>HYPERLINK("https://klasma.github.io/Logging_1499/artfynd/A 61458-2023 artfynd.xlsx", "A 61458-2023")</f>
        <v/>
      </c>
      <c r="T15">
        <f>HYPERLINK("https://klasma.github.io/Logging_1499/kartor/A 61458-2023 karta.png", "A 61458-2023")</f>
        <v/>
      </c>
      <c r="V15">
        <f>HYPERLINK("https://klasma.github.io/Logging_1499/klagomål/A 61458-2023 FSC-klagomål.docx", "A 61458-2023")</f>
        <v/>
      </c>
      <c r="W15">
        <f>HYPERLINK("https://klasma.github.io/Logging_1499/klagomålsmail/A 61458-2023 FSC-klagomål mail.docx", "A 61458-2023")</f>
        <v/>
      </c>
      <c r="X15">
        <f>HYPERLINK("https://klasma.github.io/Logging_1499/tillsyn/A 61458-2023 tillsynsbegäran.docx", "A 61458-2023")</f>
        <v/>
      </c>
      <c r="Y15">
        <f>HYPERLINK("https://klasma.github.io/Logging_1499/tillsynsmail/A 61458-2023 tillsynsbegäran mail.docx", "A 61458-2023")</f>
        <v/>
      </c>
    </row>
    <row r="16" ht="15" customHeight="1">
      <c r="A16" t="inlineStr">
        <is>
          <t>A 14102-2025</t>
        </is>
      </c>
      <c r="B16" s="1" t="n">
        <v>45740</v>
      </c>
      <c r="C16" s="1" t="n">
        <v>46200</v>
      </c>
      <c r="D16" t="inlineStr">
        <is>
          <t>VÄSTRA GÖTALANDS LÄN</t>
        </is>
      </c>
      <c r="E16" t="inlineStr">
        <is>
          <t>FALKÖPING</t>
        </is>
      </c>
      <c r="G16" t="n">
        <v>11</v>
      </c>
      <c r="H16" t="n">
        <v>3</v>
      </c>
      <c r="I16" t="n">
        <v>0</v>
      </c>
      <c r="J16" t="n">
        <v>0</v>
      </c>
      <c r="K16" t="n">
        <v>1</v>
      </c>
      <c r="L16" t="n">
        <v>0</v>
      </c>
      <c r="M16" t="n">
        <v>0</v>
      </c>
      <c r="N16" t="n">
        <v>0</v>
      </c>
      <c r="O16" t="n">
        <v>1</v>
      </c>
      <c r="P16" t="n">
        <v>1</v>
      </c>
      <c r="Q16" t="n">
        <v>3</v>
      </c>
      <c r="R16" s="2" t="inlineStr">
        <is>
          <t>Brushane
Sångsvan
Trana</t>
        </is>
      </c>
      <c r="S16">
        <f>HYPERLINK("https://klasma.github.io/Logging_1499/artfynd/A 14102-2025 artfynd.xlsx", "A 14102-2025")</f>
        <v/>
      </c>
      <c r="T16">
        <f>HYPERLINK("https://klasma.github.io/Logging_1499/kartor/A 14102-2025 karta.png", "A 14102-2025")</f>
        <v/>
      </c>
      <c r="V16">
        <f>HYPERLINK("https://klasma.github.io/Logging_1499/klagomål/A 14102-2025 FSC-klagomål.docx", "A 14102-2025")</f>
        <v/>
      </c>
      <c r="W16">
        <f>HYPERLINK("https://klasma.github.io/Logging_1499/klagomålsmail/A 14102-2025 FSC-klagomål mail.docx", "A 14102-2025")</f>
        <v/>
      </c>
      <c r="X16">
        <f>HYPERLINK("https://klasma.github.io/Logging_1499/tillsyn/A 14102-2025 tillsynsbegäran.docx", "A 14102-2025")</f>
        <v/>
      </c>
      <c r="Y16">
        <f>HYPERLINK("https://klasma.github.io/Logging_1499/tillsynsmail/A 14102-2025 tillsynsbegäran mail.docx", "A 14102-2025")</f>
        <v/>
      </c>
      <c r="Z16">
        <f>HYPERLINK("https://klasma.github.io/Logging_1499/fåglar/A 14102-2025 prioriterade fågelarter.docx", "A 14102-2025")</f>
        <v/>
      </c>
    </row>
    <row r="17" ht="15" customHeight="1">
      <c r="A17" t="inlineStr">
        <is>
          <t>A 22630-2025</t>
        </is>
      </c>
      <c r="B17" s="1" t="n">
        <v>45789</v>
      </c>
      <c r="C17" s="1" t="n">
        <v>46200</v>
      </c>
      <c r="D17" t="inlineStr">
        <is>
          <t>VÄSTRA GÖTALANDS LÄN</t>
        </is>
      </c>
      <c r="E17" t="inlineStr">
        <is>
          <t>FALKÖPING</t>
        </is>
      </c>
      <c r="G17" t="n">
        <v>6</v>
      </c>
      <c r="H17" t="n">
        <v>1</v>
      </c>
      <c r="I17" t="n">
        <v>1</v>
      </c>
      <c r="J17" t="n">
        <v>1</v>
      </c>
      <c r="K17" t="n">
        <v>0</v>
      </c>
      <c r="L17" t="n">
        <v>0</v>
      </c>
      <c r="M17" t="n">
        <v>0</v>
      </c>
      <c r="N17" t="n">
        <v>0</v>
      </c>
      <c r="O17" t="n">
        <v>1</v>
      </c>
      <c r="P17" t="n">
        <v>0</v>
      </c>
      <c r="Q17" t="n">
        <v>3</v>
      </c>
      <c r="R17" s="2" t="inlineStr">
        <is>
          <t>Svinrot
Kornknutmossa
Gullviva</t>
        </is>
      </c>
      <c r="S17">
        <f>HYPERLINK("https://klasma.github.io/Logging_1499/artfynd/A 22630-2025 artfynd.xlsx", "A 22630-2025")</f>
        <v/>
      </c>
      <c r="T17">
        <f>HYPERLINK("https://klasma.github.io/Logging_1499/kartor/A 22630-2025 karta.png", "A 22630-2025")</f>
        <v/>
      </c>
      <c r="V17">
        <f>HYPERLINK("https://klasma.github.io/Logging_1499/klagomål/A 22630-2025 FSC-klagomål.docx", "A 22630-2025")</f>
        <v/>
      </c>
      <c r="W17">
        <f>HYPERLINK("https://klasma.github.io/Logging_1499/klagomålsmail/A 22630-2025 FSC-klagomål mail.docx", "A 22630-2025")</f>
        <v/>
      </c>
      <c r="X17">
        <f>HYPERLINK("https://klasma.github.io/Logging_1499/tillsyn/A 22630-2025 tillsynsbegäran.docx", "A 22630-2025")</f>
        <v/>
      </c>
      <c r="Y17">
        <f>HYPERLINK("https://klasma.github.io/Logging_1499/tillsynsmail/A 22630-2025 tillsynsbegäran mail.docx", "A 22630-2025")</f>
        <v/>
      </c>
    </row>
    <row r="18" ht="15" customHeight="1">
      <c r="A18" t="inlineStr">
        <is>
          <t>A 40067-2021</t>
        </is>
      </c>
      <c r="B18" s="1" t="n">
        <v>44418</v>
      </c>
      <c r="C18" s="1" t="n">
        <v>46200</v>
      </c>
      <c r="D18" t="inlineStr">
        <is>
          <t>VÄSTRA GÖTALANDS LÄN</t>
        </is>
      </c>
      <c r="E18" t="inlineStr">
        <is>
          <t>FALKÖPING</t>
        </is>
      </c>
      <c r="G18" t="n">
        <v>3.8</v>
      </c>
      <c r="H18" t="n">
        <v>1</v>
      </c>
      <c r="I18" t="n">
        <v>0</v>
      </c>
      <c r="J18" t="n">
        <v>1</v>
      </c>
      <c r="K18" t="n">
        <v>1</v>
      </c>
      <c r="L18" t="n">
        <v>0</v>
      </c>
      <c r="M18" t="n">
        <v>0</v>
      </c>
      <c r="N18" t="n">
        <v>0</v>
      </c>
      <c r="O18" t="n">
        <v>2</v>
      </c>
      <c r="P18" t="n">
        <v>1</v>
      </c>
      <c r="Q18" t="n">
        <v>2</v>
      </c>
      <c r="R18" s="2" t="inlineStr">
        <is>
          <t>Backsippa
Sandviol</t>
        </is>
      </c>
      <c r="S18">
        <f>HYPERLINK("https://klasma.github.io/Logging_1499/artfynd/A 40067-2021 artfynd.xlsx", "A 40067-2021")</f>
        <v/>
      </c>
      <c r="T18">
        <f>HYPERLINK("https://klasma.github.io/Logging_1499/kartor/A 40067-2021 karta.png", "A 40067-2021")</f>
        <v/>
      </c>
      <c r="V18">
        <f>HYPERLINK("https://klasma.github.io/Logging_1499/klagomål/A 40067-2021 FSC-klagomål.docx", "A 40067-2021")</f>
        <v/>
      </c>
      <c r="W18">
        <f>HYPERLINK("https://klasma.github.io/Logging_1499/klagomålsmail/A 40067-2021 FSC-klagomål mail.docx", "A 40067-2021")</f>
        <v/>
      </c>
      <c r="X18">
        <f>HYPERLINK("https://klasma.github.io/Logging_1499/tillsyn/A 40067-2021 tillsynsbegäran.docx", "A 40067-2021")</f>
        <v/>
      </c>
      <c r="Y18">
        <f>HYPERLINK("https://klasma.github.io/Logging_1499/tillsynsmail/A 40067-2021 tillsynsbegäran mail.docx", "A 40067-2021")</f>
        <v/>
      </c>
    </row>
    <row r="19" ht="15" customHeight="1">
      <c r="A19" t="inlineStr">
        <is>
          <t>A 41082-2024</t>
        </is>
      </c>
      <c r="B19" s="1" t="n">
        <v>45559</v>
      </c>
      <c r="C19" s="1" t="n">
        <v>46200</v>
      </c>
      <c r="D19" t="inlineStr">
        <is>
          <t>VÄSTRA GÖTALANDS LÄN</t>
        </is>
      </c>
      <c r="E19" t="inlineStr">
        <is>
          <t>FALKÖPING</t>
        </is>
      </c>
      <c r="G19" t="n">
        <v>1.5</v>
      </c>
      <c r="H19" t="n">
        <v>2</v>
      </c>
      <c r="I19" t="n">
        <v>0</v>
      </c>
      <c r="J19" t="n">
        <v>0</v>
      </c>
      <c r="K19" t="n">
        <v>0</v>
      </c>
      <c r="L19" t="n">
        <v>0</v>
      </c>
      <c r="M19" t="n">
        <v>0</v>
      </c>
      <c r="N19" t="n">
        <v>0</v>
      </c>
      <c r="O19" t="n">
        <v>0</v>
      </c>
      <c r="P19" t="n">
        <v>0</v>
      </c>
      <c r="Q19" t="n">
        <v>2</v>
      </c>
      <c r="R19" s="2" t="inlineStr">
        <is>
          <t>Kråka
Röd glada</t>
        </is>
      </c>
      <c r="S19">
        <f>HYPERLINK("https://klasma.github.io/Logging_1499/artfynd/A 41082-2024 artfynd.xlsx", "A 41082-2024")</f>
        <v/>
      </c>
      <c r="T19">
        <f>HYPERLINK("https://klasma.github.io/Logging_1499/kartor/A 41082-2024 karta.png", "A 41082-2024")</f>
        <v/>
      </c>
      <c r="V19">
        <f>HYPERLINK("https://klasma.github.io/Logging_1499/klagomål/A 41082-2024 FSC-klagomål.docx", "A 41082-2024")</f>
        <v/>
      </c>
      <c r="W19">
        <f>HYPERLINK("https://klasma.github.io/Logging_1499/klagomålsmail/A 41082-2024 FSC-klagomål mail.docx", "A 41082-2024")</f>
        <v/>
      </c>
      <c r="X19">
        <f>HYPERLINK("https://klasma.github.io/Logging_1499/tillsyn/A 41082-2024 tillsynsbegäran.docx", "A 41082-2024")</f>
        <v/>
      </c>
      <c r="Y19">
        <f>HYPERLINK("https://klasma.github.io/Logging_1499/tillsynsmail/A 41082-2024 tillsynsbegäran mail.docx", "A 41082-2024")</f>
        <v/>
      </c>
      <c r="Z19">
        <f>HYPERLINK("https://klasma.github.io/Logging_1499/fåglar/A 41082-2024 prioriterade fågelarter.docx", "A 41082-2024")</f>
        <v/>
      </c>
    </row>
    <row r="20" ht="15" customHeight="1">
      <c r="A20" t="inlineStr">
        <is>
          <t>A 10455-2024</t>
        </is>
      </c>
      <c r="B20" s="1" t="n">
        <v>45366</v>
      </c>
      <c r="C20" s="1" t="n">
        <v>46200</v>
      </c>
      <c r="D20" t="inlineStr">
        <is>
          <t>VÄSTRA GÖTALANDS LÄN</t>
        </is>
      </c>
      <c r="E20" t="inlineStr">
        <is>
          <t>FALKÖPING</t>
        </is>
      </c>
      <c r="G20" t="n">
        <v>2.5</v>
      </c>
      <c r="H20" t="n">
        <v>2</v>
      </c>
      <c r="I20" t="n">
        <v>0</v>
      </c>
      <c r="J20" t="n">
        <v>0</v>
      </c>
      <c r="K20" t="n">
        <v>0</v>
      </c>
      <c r="L20" t="n">
        <v>1</v>
      </c>
      <c r="M20" t="n">
        <v>0</v>
      </c>
      <c r="N20" t="n">
        <v>0</v>
      </c>
      <c r="O20" t="n">
        <v>1</v>
      </c>
      <c r="P20" t="n">
        <v>1</v>
      </c>
      <c r="Q20" t="n">
        <v>2</v>
      </c>
      <c r="R20" s="2" t="inlineStr">
        <is>
          <t>Storspov
Röd glada</t>
        </is>
      </c>
      <c r="S20">
        <f>HYPERLINK("https://klasma.github.io/Logging_1499/artfynd/A 10455-2024 artfynd.xlsx", "A 10455-2024")</f>
        <v/>
      </c>
      <c r="T20">
        <f>HYPERLINK("https://klasma.github.io/Logging_1499/kartor/A 10455-2024 karta.png", "A 10455-2024")</f>
        <v/>
      </c>
      <c r="V20">
        <f>HYPERLINK("https://klasma.github.io/Logging_1499/klagomål/A 10455-2024 FSC-klagomål.docx", "A 10455-2024")</f>
        <v/>
      </c>
      <c r="W20">
        <f>HYPERLINK("https://klasma.github.io/Logging_1499/klagomålsmail/A 10455-2024 FSC-klagomål mail.docx", "A 10455-2024")</f>
        <v/>
      </c>
      <c r="X20">
        <f>HYPERLINK("https://klasma.github.io/Logging_1499/tillsyn/A 10455-2024 tillsynsbegäran.docx", "A 10455-2024")</f>
        <v/>
      </c>
      <c r="Y20">
        <f>HYPERLINK("https://klasma.github.io/Logging_1499/tillsynsmail/A 10455-2024 tillsynsbegäran mail.docx", "A 10455-2024")</f>
        <v/>
      </c>
      <c r="Z20">
        <f>HYPERLINK("https://klasma.github.io/Logging_1499/fåglar/A 10455-2024 prioriterade fågelarter.docx", "A 10455-2024")</f>
        <v/>
      </c>
    </row>
    <row r="21" ht="15" customHeight="1">
      <c r="A21" t="inlineStr">
        <is>
          <t>A 55725-2023</t>
        </is>
      </c>
      <c r="B21" s="1" t="n">
        <v>45232</v>
      </c>
      <c r="C21" s="1" t="n">
        <v>46200</v>
      </c>
      <c r="D21" t="inlineStr">
        <is>
          <t>VÄSTRA GÖTALANDS LÄN</t>
        </is>
      </c>
      <c r="E21" t="inlineStr">
        <is>
          <t>FALKÖPING</t>
        </is>
      </c>
      <c r="G21" t="n">
        <v>8.300000000000001</v>
      </c>
      <c r="H21" t="n">
        <v>2</v>
      </c>
      <c r="I21" t="n">
        <v>1</v>
      </c>
      <c r="J21" t="n">
        <v>0</v>
      </c>
      <c r="K21" t="n">
        <v>0</v>
      </c>
      <c r="L21" t="n">
        <v>0</v>
      </c>
      <c r="M21" t="n">
        <v>0</v>
      </c>
      <c r="N21" t="n">
        <v>0</v>
      </c>
      <c r="O21" t="n">
        <v>0</v>
      </c>
      <c r="P21" t="n">
        <v>0</v>
      </c>
      <c r="Q21" t="n">
        <v>2</v>
      </c>
      <c r="R21" s="2" t="inlineStr">
        <is>
          <t>Tvåblad
Fläcknycklar</t>
        </is>
      </c>
      <c r="S21">
        <f>HYPERLINK("https://klasma.github.io/Logging_1499/artfynd/A 55725-2023 artfynd.xlsx", "A 55725-2023")</f>
        <v/>
      </c>
      <c r="T21">
        <f>HYPERLINK("https://klasma.github.io/Logging_1499/kartor/A 55725-2023 karta.png", "A 55725-2023")</f>
        <v/>
      </c>
      <c r="V21">
        <f>HYPERLINK("https://klasma.github.io/Logging_1499/klagomål/A 55725-2023 FSC-klagomål.docx", "A 55725-2023")</f>
        <v/>
      </c>
      <c r="W21">
        <f>HYPERLINK("https://klasma.github.io/Logging_1499/klagomålsmail/A 55725-2023 FSC-klagomål mail.docx", "A 55725-2023")</f>
        <v/>
      </c>
      <c r="X21">
        <f>HYPERLINK("https://klasma.github.io/Logging_1499/tillsyn/A 55725-2023 tillsynsbegäran.docx", "A 55725-2023")</f>
        <v/>
      </c>
      <c r="Y21">
        <f>HYPERLINK("https://klasma.github.io/Logging_1499/tillsynsmail/A 55725-2023 tillsynsbegäran mail.docx", "A 55725-2023")</f>
        <v/>
      </c>
    </row>
    <row r="22" ht="15" customHeight="1">
      <c r="A22" t="inlineStr">
        <is>
          <t>A 26163-2023</t>
        </is>
      </c>
      <c r="B22" s="1" t="n">
        <v>45091</v>
      </c>
      <c r="C22" s="1" t="n">
        <v>46200</v>
      </c>
      <c r="D22" t="inlineStr">
        <is>
          <t>VÄSTRA GÖTALANDS LÄN</t>
        </is>
      </c>
      <c r="E22" t="inlineStr">
        <is>
          <t>FALKÖPING</t>
        </is>
      </c>
      <c r="G22" t="n">
        <v>1.6</v>
      </c>
      <c r="H22" t="n">
        <v>0</v>
      </c>
      <c r="I22" t="n">
        <v>0</v>
      </c>
      <c r="J22" t="n">
        <v>2</v>
      </c>
      <c r="K22" t="n">
        <v>0</v>
      </c>
      <c r="L22" t="n">
        <v>0</v>
      </c>
      <c r="M22" t="n">
        <v>0</v>
      </c>
      <c r="N22" t="n">
        <v>0</v>
      </c>
      <c r="O22" t="n">
        <v>2</v>
      </c>
      <c r="P22" t="n">
        <v>0</v>
      </c>
      <c r="Q22" t="n">
        <v>2</v>
      </c>
      <c r="R22" s="2" t="inlineStr">
        <is>
          <t>Borsttåg
Gullklöver</t>
        </is>
      </c>
      <c r="S22">
        <f>HYPERLINK("https://klasma.github.io/Logging_1499/artfynd/A 26163-2023 artfynd.xlsx", "A 26163-2023")</f>
        <v/>
      </c>
      <c r="T22">
        <f>HYPERLINK("https://klasma.github.io/Logging_1499/kartor/A 26163-2023 karta.png", "A 26163-2023")</f>
        <v/>
      </c>
      <c r="V22">
        <f>HYPERLINK("https://klasma.github.io/Logging_1499/klagomål/A 26163-2023 FSC-klagomål.docx", "A 26163-2023")</f>
        <v/>
      </c>
      <c r="W22">
        <f>HYPERLINK("https://klasma.github.io/Logging_1499/klagomålsmail/A 26163-2023 FSC-klagomål mail.docx", "A 26163-2023")</f>
        <v/>
      </c>
      <c r="X22">
        <f>HYPERLINK("https://klasma.github.io/Logging_1499/tillsyn/A 26163-2023 tillsynsbegäran.docx", "A 26163-2023")</f>
        <v/>
      </c>
      <c r="Y22">
        <f>HYPERLINK("https://klasma.github.io/Logging_1499/tillsynsmail/A 26163-2023 tillsynsbegäran mail.docx", "A 26163-2023")</f>
        <v/>
      </c>
    </row>
    <row r="23" ht="15" customHeight="1">
      <c r="A23" t="inlineStr">
        <is>
          <t>A 28676-2022</t>
        </is>
      </c>
      <c r="B23" s="1" t="n">
        <v>44748</v>
      </c>
      <c r="C23" s="1" t="n">
        <v>46200</v>
      </c>
      <c r="D23" t="inlineStr">
        <is>
          <t>VÄSTRA GÖTALANDS LÄN</t>
        </is>
      </c>
      <c r="E23" t="inlineStr">
        <is>
          <t>FALKÖPING</t>
        </is>
      </c>
      <c r="G23" t="n">
        <v>1.4</v>
      </c>
      <c r="H23" t="n">
        <v>1</v>
      </c>
      <c r="I23" t="n">
        <v>1</v>
      </c>
      <c r="J23" t="n">
        <v>0</v>
      </c>
      <c r="K23" t="n">
        <v>0</v>
      </c>
      <c r="L23" t="n">
        <v>0</v>
      </c>
      <c r="M23" t="n">
        <v>0</v>
      </c>
      <c r="N23" t="n">
        <v>0</v>
      </c>
      <c r="O23" t="n">
        <v>0</v>
      </c>
      <c r="P23" t="n">
        <v>0</v>
      </c>
      <c r="Q23" t="n">
        <v>2</v>
      </c>
      <c r="R23" s="2" t="inlineStr">
        <is>
          <t>Myskmadra
Blåsippa</t>
        </is>
      </c>
      <c r="S23">
        <f>HYPERLINK("https://klasma.github.io/Logging_1499/artfynd/A 28676-2022 artfynd.xlsx", "A 28676-2022")</f>
        <v/>
      </c>
      <c r="T23">
        <f>HYPERLINK("https://klasma.github.io/Logging_1499/kartor/A 28676-2022 karta.png", "A 28676-2022")</f>
        <v/>
      </c>
      <c r="V23">
        <f>HYPERLINK("https://klasma.github.io/Logging_1499/klagomål/A 28676-2022 FSC-klagomål.docx", "A 28676-2022")</f>
        <v/>
      </c>
      <c r="W23">
        <f>HYPERLINK("https://klasma.github.io/Logging_1499/klagomålsmail/A 28676-2022 FSC-klagomål mail.docx", "A 28676-2022")</f>
        <v/>
      </c>
      <c r="X23">
        <f>HYPERLINK("https://klasma.github.io/Logging_1499/tillsyn/A 28676-2022 tillsynsbegäran.docx", "A 28676-2022")</f>
        <v/>
      </c>
      <c r="Y23">
        <f>HYPERLINK("https://klasma.github.io/Logging_1499/tillsynsmail/A 28676-2022 tillsynsbegäran mail.docx", "A 28676-2022")</f>
        <v/>
      </c>
    </row>
    <row r="24" ht="15" customHeight="1">
      <c r="A24" t="inlineStr">
        <is>
          <t>A 6252-2024</t>
        </is>
      </c>
      <c r="B24" s="1" t="n">
        <v>45337</v>
      </c>
      <c r="C24" s="1" t="n">
        <v>46200</v>
      </c>
      <c r="D24" t="inlineStr">
        <is>
          <t>VÄSTRA GÖTALANDS LÄN</t>
        </is>
      </c>
      <c r="E24" t="inlineStr">
        <is>
          <t>FALKÖPING</t>
        </is>
      </c>
      <c r="G24" t="n">
        <v>4.2</v>
      </c>
      <c r="H24" t="n">
        <v>2</v>
      </c>
      <c r="I24" t="n">
        <v>0</v>
      </c>
      <c r="J24" t="n">
        <v>0</v>
      </c>
      <c r="K24" t="n">
        <v>0</v>
      </c>
      <c r="L24" t="n">
        <v>0</v>
      </c>
      <c r="M24" t="n">
        <v>0</v>
      </c>
      <c r="N24" t="n">
        <v>0</v>
      </c>
      <c r="O24" t="n">
        <v>0</v>
      </c>
      <c r="P24" t="n">
        <v>0</v>
      </c>
      <c r="Q24" t="n">
        <v>2</v>
      </c>
      <c r="R24" s="2" t="inlineStr">
        <is>
          <t>Blåsippa
Revlummer</t>
        </is>
      </c>
      <c r="S24">
        <f>HYPERLINK("https://klasma.github.io/Logging_1499/artfynd/A 6252-2024 artfynd.xlsx", "A 6252-2024")</f>
        <v/>
      </c>
      <c r="T24">
        <f>HYPERLINK("https://klasma.github.io/Logging_1499/kartor/A 6252-2024 karta.png", "A 6252-2024")</f>
        <v/>
      </c>
      <c r="V24">
        <f>HYPERLINK("https://klasma.github.io/Logging_1499/klagomål/A 6252-2024 FSC-klagomål.docx", "A 6252-2024")</f>
        <v/>
      </c>
      <c r="W24">
        <f>HYPERLINK("https://klasma.github.io/Logging_1499/klagomålsmail/A 6252-2024 FSC-klagomål mail.docx", "A 6252-2024")</f>
        <v/>
      </c>
      <c r="X24">
        <f>HYPERLINK("https://klasma.github.io/Logging_1499/tillsyn/A 6252-2024 tillsynsbegäran.docx", "A 6252-2024")</f>
        <v/>
      </c>
      <c r="Y24">
        <f>HYPERLINK("https://klasma.github.io/Logging_1499/tillsynsmail/A 6252-2024 tillsynsbegäran mail.docx", "A 6252-2024")</f>
        <v/>
      </c>
    </row>
    <row r="25" ht="15" customHeight="1">
      <c r="A25" t="inlineStr">
        <is>
          <t>A 22808-2023</t>
        </is>
      </c>
      <c r="B25" s="1" t="n">
        <v>45072</v>
      </c>
      <c r="C25" s="1" t="n">
        <v>46200</v>
      </c>
      <c r="D25" t="inlineStr">
        <is>
          <t>VÄSTRA GÖTALANDS LÄN</t>
        </is>
      </c>
      <c r="E25" t="inlineStr">
        <is>
          <t>FALKÖPING</t>
        </is>
      </c>
      <c r="G25" t="n">
        <v>2.2</v>
      </c>
      <c r="H25" t="n">
        <v>2</v>
      </c>
      <c r="I25" t="n">
        <v>0</v>
      </c>
      <c r="J25" t="n">
        <v>0</v>
      </c>
      <c r="K25" t="n">
        <v>0</v>
      </c>
      <c r="L25" t="n">
        <v>0</v>
      </c>
      <c r="M25" t="n">
        <v>0</v>
      </c>
      <c r="N25" t="n">
        <v>0</v>
      </c>
      <c r="O25" t="n">
        <v>0</v>
      </c>
      <c r="P25" t="n">
        <v>0</v>
      </c>
      <c r="Q25" t="n">
        <v>2</v>
      </c>
      <c r="R25" s="2" t="inlineStr">
        <is>
          <t>Större vattensalamander
Mindre vattensalamander</t>
        </is>
      </c>
      <c r="S25">
        <f>HYPERLINK("https://klasma.github.io/Logging_1499/artfynd/A 22808-2023 artfynd.xlsx", "A 22808-2023")</f>
        <v/>
      </c>
      <c r="T25">
        <f>HYPERLINK("https://klasma.github.io/Logging_1499/kartor/A 22808-2023 karta.png", "A 22808-2023")</f>
        <v/>
      </c>
      <c r="V25">
        <f>HYPERLINK("https://klasma.github.io/Logging_1499/klagomål/A 22808-2023 FSC-klagomål.docx", "A 22808-2023")</f>
        <v/>
      </c>
      <c r="W25">
        <f>HYPERLINK("https://klasma.github.io/Logging_1499/klagomålsmail/A 22808-2023 FSC-klagomål mail.docx", "A 22808-2023")</f>
        <v/>
      </c>
      <c r="X25">
        <f>HYPERLINK("https://klasma.github.io/Logging_1499/tillsyn/A 22808-2023 tillsynsbegäran.docx", "A 22808-2023")</f>
        <v/>
      </c>
      <c r="Y25">
        <f>HYPERLINK("https://klasma.github.io/Logging_1499/tillsynsmail/A 22808-2023 tillsynsbegäran mail.docx", "A 22808-2023")</f>
        <v/>
      </c>
    </row>
    <row r="26" ht="15" customHeight="1">
      <c r="A26" t="inlineStr">
        <is>
          <t>A 31071-2024</t>
        </is>
      </c>
      <c r="B26" s="1" t="n">
        <v>45502</v>
      </c>
      <c r="C26" s="1" t="n">
        <v>46200</v>
      </c>
      <c r="D26" t="inlineStr">
        <is>
          <t>VÄSTRA GÖTALANDS LÄN</t>
        </is>
      </c>
      <c r="E26" t="inlineStr">
        <is>
          <t>FALKÖPING</t>
        </is>
      </c>
      <c r="G26" t="n">
        <v>1.6</v>
      </c>
      <c r="H26" t="n">
        <v>0</v>
      </c>
      <c r="I26" t="n">
        <v>1</v>
      </c>
      <c r="J26" t="n">
        <v>0</v>
      </c>
      <c r="K26" t="n">
        <v>0</v>
      </c>
      <c r="L26" t="n">
        <v>1</v>
      </c>
      <c r="M26" t="n">
        <v>0</v>
      </c>
      <c r="N26" t="n">
        <v>0</v>
      </c>
      <c r="O26" t="n">
        <v>1</v>
      </c>
      <c r="P26" t="n">
        <v>1</v>
      </c>
      <c r="Q26" t="n">
        <v>2</v>
      </c>
      <c r="R26" s="2" t="inlineStr">
        <is>
          <t>Ask
Guldlockmossa</t>
        </is>
      </c>
      <c r="S26">
        <f>HYPERLINK("https://klasma.github.io/Logging_1499/artfynd/A 31071-2024 artfynd.xlsx", "A 31071-2024")</f>
        <v/>
      </c>
      <c r="T26">
        <f>HYPERLINK("https://klasma.github.io/Logging_1499/kartor/A 31071-2024 karta.png", "A 31071-2024")</f>
        <v/>
      </c>
      <c r="V26">
        <f>HYPERLINK("https://klasma.github.io/Logging_1499/klagomål/A 31071-2024 FSC-klagomål.docx", "A 31071-2024")</f>
        <v/>
      </c>
      <c r="W26">
        <f>HYPERLINK("https://klasma.github.io/Logging_1499/klagomålsmail/A 31071-2024 FSC-klagomål mail.docx", "A 31071-2024")</f>
        <v/>
      </c>
      <c r="X26">
        <f>HYPERLINK("https://klasma.github.io/Logging_1499/tillsyn/A 31071-2024 tillsynsbegäran.docx", "A 31071-2024")</f>
        <v/>
      </c>
      <c r="Y26">
        <f>HYPERLINK("https://klasma.github.io/Logging_1499/tillsynsmail/A 31071-2024 tillsynsbegäran mail.docx", "A 31071-2024")</f>
        <v/>
      </c>
    </row>
    <row r="27" ht="15" customHeight="1">
      <c r="A27" t="inlineStr">
        <is>
          <t>A 50964-2024</t>
        </is>
      </c>
      <c r="B27" s="1" t="n">
        <v>45603</v>
      </c>
      <c r="C27" s="1" t="n">
        <v>46200</v>
      </c>
      <c r="D27" t="inlineStr">
        <is>
          <t>VÄSTRA GÖTALANDS LÄN</t>
        </is>
      </c>
      <c r="E27" t="inlineStr">
        <is>
          <t>FALKÖPING</t>
        </is>
      </c>
      <c r="G27" t="n">
        <v>1.3</v>
      </c>
      <c r="H27" t="n">
        <v>0</v>
      </c>
      <c r="I27" t="n">
        <v>1</v>
      </c>
      <c r="J27" t="n">
        <v>0</v>
      </c>
      <c r="K27" t="n">
        <v>0</v>
      </c>
      <c r="L27" t="n">
        <v>1</v>
      </c>
      <c r="M27" t="n">
        <v>0</v>
      </c>
      <c r="N27" t="n">
        <v>0</v>
      </c>
      <c r="O27" t="n">
        <v>1</v>
      </c>
      <c r="P27" t="n">
        <v>1</v>
      </c>
      <c r="Q27" t="n">
        <v>2</v>
      </c>
      <c r="R27" s="2" t="inlineStr">
        <is>
          <t>Skogsalm
Hässleklocka</t>
        </is>
      </c>
      <c r="S27">
        <f>HYPERLINK("https://klasma.github.io/Logging_1499/artfynd/A 50964-2024 artfynd.xlsx", "A 50964-2024")</f>
        <v/>
      </c>
      <c r="T27">
        <f>HYPERLINK("https://klasma.github.io/Logging_1499/kartor/A 50964-2024 karta.png", "A 50964-2024")</f>
        <v/>
      </c>
      <c r="V27">
        <f>HYPERLINK("https://klasma.github.io/Logging_1499/klagomål/A 50964-2024 FSC-klagomål.docx", "A 50964-2024")</f>
        <v/>
      </c>
      <c r="W27">
        <f>HYPERLINK("https://klasma.github.io/Logging_1499/klagomålsmail/A 50964-2024 FSC-klagomål mail.docx", "A 50964-2024")</f>
        <v/>
      </c>
      <c r="X27">
        <f>HYPERLINK("https://klasma.github.io/Logging_1499/tillsyn/A 50964-2024 tillsynsbegäran.docx", "A 50964-2024")</f>
        <v/>
      </c>
      <c r="Y27">
        <f>HYPERLINK("https://klasma.github.io/Logging_1499/tillsynsmail/A 50964-2024 tillsynsbegäran mail.docx", "A 50964-2024")</f>
        <v/>
      </c>
    </row>
    <row r="28" ht="15" customHeight="1">
      <c r="A28" t="inlineStr">
        <is>
          <t>A 58687-2025</t>
        </is>
      </c>
      <c r="B28" s="1" t="n">
        <v>45986</v>
      </c>
      <c r="C28" s="1" t="n">
        <v>46200</v>
      </c>
      <c r="D28" t="inlineStr">
        <is>
          <t>VÄSTRA GÖTALANDS LÄN</t>
        </is>
      </c>
      <c r="E28" t="inlineStr">
        <is>
          <t>FALKÖPING</t>
        </is>
      </c>
      <c r="G28" t="n">
        <v>3.6</v>
      </c>
      <c r="H28" t="n">
        <v>1</v>
      </c>
      <c r="I28" t="n">
        <v>0</v>
      </c>
      <c r="J28" t="n">
        <v>1</v>
      </c>
      <c r="K28" t="n">
        <v>0</v>
      </c>
      <c r="L28" t="n">
        <v>0</v>
      </c>
      <c r="M28" t="n">
        <v>0</v>
      </c>
      <c r="N28" t="n">
        <v>0</v>
      </c>
      <c r="O28" t="n">
        <v>1</v>
      </c>
      <c r="P28" t="n">
        <v>0</v>
      </c>
      <c r="Q28" t="n">
        <v>2</v>
      </c>
      <c r="R28" s="2" t="inlineStr">
        <is>
          <t>Jungfrulin
Gullviva</t>
        </is>
      </c>
      <c r="S28">
        <f>HYPERLINK("https://klasma.github.io/Logging_1499/artfynd/A 58687-2025 artfynd.xlsx", "A 58687-2025")</f>
        <v/>
      </c>
      <c r="T28">
        <f>HYPERLINK("https://klasma.github.io/Logging_1499/kartor/A 58687-2025 karta.png", "A 58687-2025")</f>
        <v/>
      </c>
      <c r="V28">
        <f>HYPERLINK("https://klasma.github.io/Logging_1499/klagomål/A 58687-2025 FSC-klagomål.docx", "A 58687-2025")</f>
        <v/>
      </c>
      <c r="W28">
        <f>HYPERLINK("https://klasma.github.io/Logging_1499/klagomålsmail/A 58687-2025 FSC-klagomål mail.docx", "A 58687-2025")</f>
        <v/>
      </c>
      <c r="X28">
        <f>HYPERLINK("https://klasma.github.io/Logging_1499/tillsyn/A 58687-2025 tillsynsbegäran.docx", "A 58687-2025")</f>
        <v/>
      </c>
      <c r="Y28">
        <f>HYPERLINK("https://klasma.github.io/Logging_1499/tillsynsmail/A 58687-2025 tillsynsbegäran mail.docx", "A 58687-2025")</f>
        <v/>
      </c>
    </row>
    <row r="29" ht="15" customHeight="1">
      <c r="A29" t="inlineStr">
        <is>
          <t>A 61984-2025</t>
        </is>
      </c>
      <c r="B29" s="1" t="n">
        <v>46003</v>
      </c>
      <c r="C29" s="1" t="n">
        <v>46200</v>
      </c>
      <c r="D29" t="inlineStr">
        <is>
          <t>VÄSTRA GÖTALANDS LÄN</t>
        </is>
      </c>
      <c r="E29" t="inlineStr">
        <is>
          <t>FALKÖPING</t>
        </is>
      </c>
      <c r="G29" t="n">
        <v>5.7</v>
      </c>
      <c r="H29" t="n">
        <v>1</v>
      </c>
      <c r="I29" t="n">
        <v>2</v>
      </c>
      <c r="J29" t="n">
        <v>0</v>
      </c>
      <c r="K29" t="n">
        <v>0</v>
      </c>
      <c r="L29" t="n">
        <v>0</v>
      </c>
      <c r="M29" t="n">
        <v>0</v>
      </c>
      <c r="N29" t="n">
        <v>0</v>
      </c>
      <c r="O29" t="n">
        <v>0</v>
      </c>
      <c r="P29" t="n">
        <v>0</v>
      </c>
      <c r="Q29" t="n">
        <v>2</v>
      </c>
      <c r="R29" s="2" t="inlineStr">
        <is>
          <t>Spindelblomster
Springkorn</t>
        </is>
      </c>
      <c r="S29">
        <f>HYPERLINK("https://klasma.github.io/Logging_1499/artfynd/A 61984-2025 artfynd.xlsx", "A 61984-2025")</f>
        <v/>
      </c>
      <c r="T29">
        <f>HYPERLINK("https://klasma.github.io/Logging_1499/kartor/A 61984-2025 karta.png", "A 61984-2025")</f>
        <v/>
      </c>
      <c r="V29">
        <f>HYPERLINK("https://klasma.github.io/Logging_1499/klagomål/A 61984-2025 FSC-klagomål.docx", "A 61984-2025")</f>
        <v/>
      </c>
      <c r="W29">
        <f>HYPERLINK("https://klasma.github.io/Logging_1499/klagomålsmail/A 61984-2025 FSC-klagomål mail.docx", "A 61984-2025")</f>
        <v/>
      </c>
      <c r="X29">
        <f>HYPERLINK("https://klasma.github.io/Logging_1499/tillsyn/A 61984-2025 tillsynsbegäran.docx", "A 61984-2025")</f>
        <v/>
      </c>
      <c r="Y29">
        <f>HYPERLINK("https://klasma.github.io/Logging_1499/tillsynsmail/A 61984-2025 tillsynsbegäran mail.docx", "A 61984-2025")</f>
        <v/>
      </c>
    </row>
    <row r="30" ht="15" customHeight="1">
      <c r="A30" t="inlineStr">
        <is>
          <t>A 43997-2021</t>
        </is>
      </c>
      <c r="B30" s="1" t="n">
        <v>44434</v>
      </c>
      <c r="C30" s="1" t="n">
        <v>46200</v>
      </c>
      <c r="D30" t="inlineStr">
        <is>
          <t>VÄSTRA GÖTALANDS LÄN</t>
        </is>
      </c>
      <c r="E30" t="inlineStr">
        <is>
          <t>FALKÖPING</t>
        </is>
      </c>
      <c r="G30" t="n">
        <v>2.1</v>
      </c>
      <c r="H30" t="n">
        <v>0</v>
      </c>
      <c r="I30" t="n">
        <v>0</v>
      </c>
      <c r="J30" t="n">
        <v>1</v>
      </c>
      <c r="K30" t="n">
        <v>0</v>
      </c>
      <c r="L30" t="n">
        <v>0</v>
      </c>
      <c r="M30" t="n">
        <v>0</v>
      </c>
      <c r="N30" t="n">
        <v>0</v>
      </c>
      <c r="O30" t="n">
        <v>1</v>
      </c>
      <c r="P30" t="n">
        <v>0</v>
      </c>
      <c r="Q30" t="n">
        <v>1</v>
      </c>
      <c r="R30" s="2" t="inlineStr">
        <is>
          <t>Svinrot</t>
        </is>
      </c>
      <c r="S30">
        <f>HYPERLINK("https://klasma.github.io/Logging_1499/artfynd/A 43997-2021 artfynd.xlsx", "A 43997-2021")</f>
        <v/>
      </c>
      <c r="T30">
        <f>HYPERLINK("https://klasma.github.io/Logging_1499/kartor/A 43997-2021 karta.png", "A 43997-2021")</f>
        <v/>
      </c>
      <c r="V30">
        <f>HYPERLINK("https://klasma.github.io/Logging_1499/klagomål/A 43997-2021 FSC-klagomål.docx", "A 43997-2021")</f>
        <v/>
      </c>
      <c r="W30">
        <f>HYPERLINK("https://klasma.github.io/Logging_1499/klagomålsmail/A 43997-2021 FSC-klagomål mail.docx", "A 43997-2021")</f>
        <v/>
      </c>
      <c r="X30">
        <f>HYPERLINK("https://klasma.github.io/Logging_1499/tillsyn/A 43997-2021 tillsynsbegäran.docx", "A 43997-2021")</f>
        <v/>
      </c>
      <c r="Y30">
        <f>HYPERLINK("https://klasma.github.io/Logging_1499/tillsynsmail/A 43997-2021 tillsynsbegäran mail.docx", "A 43997-2021")</f>
        <v/>
      </c>
    </row>
    <row r="31" ht="15" customHeight="1">
      <c r="A31" t="inlineStr">
        <is>
          <t>A 55075-2021</t>
        </is>
      </c>
      <c r="B31" s="1" t="n">
        <v>44474</v>
      </c>
      <c r="C31" s="1" t="n">
        <v>46200</v>
      </c>
      <c r="D31" t="inlineStr">
        <is>
          <t>VÄSTRA GÖTALANDS LÄN</t>
        </is>
      </c>
      <c r="E31" t="inlineStr">
        <is>
          <t>FALKÖPING</t>
        </is>
      </c>
      <c r="G31" t="n">
        <v>4.2</v>
      </c>
      <c r="H31" t="n">
        <v>0</v>
      </c>
      <c r="I31" t="n">
        <v>0</v>
      </c>
      <c r="J31" t="n">
        <v>0</v>
      </c>
      <c r="K31" t="n">
        <v>1</v>
      </c>
      <c r="L31" t="n">
        <v>0</v>
      </c>
      <c r="M31" t="n">
        <v>0</v>
      </c>
      <c r="N31" t="n">
        <v>0</v>
      </c>
      <c r="O31" t="n">
        <v>1</v>
      </c>
      <c r="P31" t="n">
        <v>1</v>
      </c>
      <c r="Q31" t="n">
        <v>1</v>
      </c>
      <c r="R31" s="2" t="inlineStr">
        <is>
          <t>Taggfingersvamp</t>
        </is>
      </c>
      <c r="S31">
        <f>HYPERLINK("https://klasma.github.io/Logging_1499/artfynd/A 55075-2021 artfynd.xlsx", "A 55075-2021")</f>
        <v/>
      </c>
      <c r="T31">
        <f>HYPERLINK("https://klasma.github.io/Logging_1499/kartor/A 55075-2021 karta.png", "A 55075-2021")</f>
        <v/>
      </c>
      <c r="V31">
        <f>HYPERLINK("https://klasma.github.io/Logging_1499/klagomål/A 55075-2021 FSC-klagomål.docx", "A 55075-2021")</f>
        <v/>
      </c>
      <c r="W31">
        <f>HYPERLINK("https://klasma.github.io/Logging_1499/klagomålsmail/A 55075-2021 FSC-klagomål mail.docx", "A 55075-2021")</f>
        <v/>
      </c>
      <c r="X31">
        <f>HYPERLINK("https://klasma.github.io/Logging_1499/tillsyn/A 55075-2021 tillsynsbegäran.docx", "A 55075-2021")</f>
        <v/>
      </c>
      <c r="Y31">
        <f>HYPERLINK("https://klasma.github.io/Logging_1499/tillsynsmail/A 55075-2021 tillsynsbegäran mail.docx", "A 55075-2021")</f>
        <v/>
      </c>
    </row>
    <row r="32" ht="15" customHeight="1">
      <c r="A32" t="inlineStr">
        <is>
          <t>A 58702-2024</t>
        </is>
      </c>
      <c r="B32" s="1" t="n">
        <v>45635</v>
      </c>
      <c r="C32" s="1" t="n">
        <v>46200</v>
      </c>
      <c r="D32" t="inlineStr">
        <is>
          <t>VÄSTRA GÖTALANDS LÄN</t>
        </is>
      </c>
      <c r="E32" t="inlineStr">
        <is>
          <t>FALKÖPING</t>
        </is>
      </c>
      <c r="G32" t="n">
        <v>4.2</v>
      </c>
      <c r="H32" t="n">
        <v>0</v>
      </c>
      <c r="I32" t="n">
        <v>0</v>
      </c>
      <c r="J32" t="n">
        <v>0</v>
      </c>
      <c r="K32" t="n">
        <v>0</v>
      </c>
      <c r="L32" t="n">
        <v>1</v>
      </c>
      <c r="M32" t="n">
        <v>0</v>
      </c>
      <c r="N32" t="n">
        <v>0</v>
      </c>
      <c r="O32" t="n">
        <v>1</v>
      </c>
      <c r="P32" t="n">
        <v>1</v>
      </c>
      <c r="Q32" t="n">
        <v>1</v>
      </c>
      <c r="R32" s="2" t="inlineStr">
        <is>
          <t>Skogsalm</t>
        </is>
      </c>
      <c r="S32">
        <f>HYPERLINK("https://klasma.github.io/Logging_1499/artfynd/A 58702-2024 artfynd.xlsx", "A 58702-2024")</f>
        <v/>
      </c>
      <c r="T32">
        <f>HYPERLINK("https://klasma.github.io/Logging_1499/kartor/A 58702-2024 karta.png", "A 58702-2024")</f>
        <v/>
      </c>
      <c r="V32">
        <f>HYPERLINK("https://klasma.github.io/Logging_1499/klagomål/A 58702-2024 FSC-klagomål.docx", "A 58702-2024")</f>
        <v/>
      </c>
      <c r="W32">
        <f>HYPERLINK("https://klasma.github.io/Logging_1499/klagomålsmail/A 58702-2024 FSC-klagomål mail.docx", "A 58702-2024")</f>
        <v/>
      </c>
      <c r="X32">
        <f>HYPERLINK("https://klasma.github.io/Logging_1499/tillsyn/A 58702-2024 tillsynsbegäran.docx", "A 58702-2024")</f>
        <v/>
      </c>
      <c r="Y32">
        <f>HYPERLINK("https://klasma.github.io/Logging_1499/tillsynsmail/A 58702-2024 tillsynsbegäran mail.docx", "A 58702-2024")</f>
        <v/>
      </c>
    </row>
    <row r="33" ht="15" customHeight="1">
      <c r="A33" t="inlineStr">
        <is>
          <t>A 47426-2023</t>
        </is>
      </c>
      <c r="B33" s="1" t="n">
        <v>45202</v>
      </c>
      <c r="C33" s="1" t="n">
        <v>46200</v>
      </c>
      <c r="D33" t="inlineStr">
        <is>
          <t>VÄSTRA GÖTALANDS LÄN</t>
        </is>
      </c>
      <c r="E33" t="inlineStr">
        <is>
          <t>FALKÖPING</t>
        </is>
      </c>
      <c r="G33" t="n">
        <v>0.3</v>
      </c>
      <c r="H33" t="n">
        <v>0</v>
      </c>
      <c r="I33" t="n">
        <v>1</v>
      </c>
      <c r="J33" t="n">
        <v>0</v>
      </c>
      <c r="K33" t="n">
        <v>0</v>
      </c>
      <c r="L33" t="n">
        <v>0</v>
      </c>
      <c r="M33" t="n">
        <v>0</v>
      </c>
      <c r="N33" t="n">
        <v>0</v>
      </c>
      <c r="O33" t="n">
        <v>0</v>
      </c>
      <c r="P33" t="n">
        <v>0</v>
      </c>
      <c r="Q33" t="n">
        <v>1</v>
      </c>
      <c r="R33" s="2" t="inlineStr">
        <is>
          <t>Blåmossa</t>
        </is>
      </c>
      <c r="S33">
        <f>HYPERLINK("https://klasma.github.io/Logging_1499/artfynd/A 47426-2023 artfynd.xlsx", "A 47426-2023")</f>
        <v/>
      </c>
      <c r="T33">
        <f>HYPERLINK("https://klasma.github.io/Logging_1499/kartor/A 47426-2023 karta.png", "A 47426-2023")</f>
        <v/>
      </c>
      <c r="V33">
        <f>HYPERLINK("https://klasma.github.io/Logging_1499/klagomål/A 47426-2023 FSC-klagomål.docx", "A 47426-2023")</f>
        <v/>
      </c>
      <c r="W33">
        <f>HYPERLINK("https://klasma.github.io/Logging_1499/klagomålsmail/A 47426-2023 FSC-klagomål mail.docx", "A 47426-2023")</f>
        <v/>
      </c>
      <c r="X33">
        <f>HYPERLINK("https://klasma.github.io/Logging_1499/tillsyn/A 47426-2023 tillsynsbegäran.docx", "A 47426-2023")</f>
        <v/>
      </c>
      <c r="Y33">
        <f>HYPERLINK("https://klasma.github.io/Logging_1499/tillsynsmail/A 47426-2023 tillsynsbegäran mail.docx", "A 47426-2023")</f>
        <v/>
      </c>
    </row>
    <row r="34" ht="15" customHeight="1">
      <c r="A34" t="inlineStr">
        <is>
          <t>A 24407-2023</t>
        </is>
      </c>
      <c r="B34" s="1" t="n">
        <v>45082</v>
      </c>
      <c r="C34" s="1" t="n">
        <v>46200</v>
      </c>
      <c r="D34" t="inlineStr">
        <is>
          <t>VÄSTRA GÖTALANDS LÄN</t>
        </is>
      </c>
      <c r="E34" t="inlineStr">
        <is>
          <t>FALKÖPING</t>
        </is>
      </c>
      <c r="G34" t="n">
        <v>3.1</v>
      </c>
      <c r="H34" t="n">
        <v>1</v>
      </c>
      <c r="I34" t="n">
        <v>0</v>
      </c>
      <c r="J34" t="n">
        <v>0</v>
      </c>
      <c r="K34" t="n">
        <v>0</v>
      </c>
      <c r="L34" t="n">
        <v>0</v>
      </c>
      <c r="M34" t="n">
        <v>0</v>
      </c>
      <c r="N34" t="n">
        <v>0</v>
      </c>
      <c r="O34" t="n">
        <v>0</v>
      </c>
      <c r="P34" t="n">
        <v>0</v>
      </c>
      <c r="Q34" t="n">
        <v>1</v>
      </c>
      <c r="R34" s="2" t="inlineStr">
        <is>
          <t>Havsörn</t>
        </is>
      </c>
      <c r="S34">
        <f>HYPERLINK("https://klasma.github.io/Logging_1499/artfynd/A 24407-2023 artfynd.xlsx", "A 24407-2023")</f>
        <v/>
      </c>
      <c r="T34">
        <f>HYPERLINK("https://klasma.github.io/Logging_1499/kartor/A 24407-2023 karta.png", "A 24407-2023")</f>
        <v/>
      </c>
      <c r="V34">
        <f>HYPERLINK("https://klasma.github.io/Logging_1499/klagomål/A 24407-2023 FSC-klagomål.docx", "A 24407-2023")</f>
        <v/>
      </c>
      <c r="W34">
        <f>HYPERLINK("https://klasma.github.io/Logging_1499/klagomålsmail/A 24407-2023 FSC-klagomål mail.docx", "A 24407-2023")</f>
        <v/>
      </c>
      <c r="X34">
        <f>HYPERLINK("https://klasma.github.io/Logging_1499/tillsyn/A 24407-2023 tillsynsbegäran.docx", "A 24407-2023")</f>
        <v/>
      </c>
      <c r="Y34">
        <f>HYPERLINK("https://klasma.github.io/Logging_1499/tillsynsmail/A 24407-2023 tillsynsbegäran mail.docx", "A 24407-2023")</f>
        <v/>
      </c>
      <c r="Z34">
        <f>HYPERLINK("https://klasma.github.io/Logging_1499/fåglar/A 24407-2023 prioriterade fågelarter.docx", "A 24407-2023")</f>
        <v/>
      </c>
    </row>
    <row r="35" ht="15" customHeight="1">
      <c r="A35" t="inlineStr">
        <is>
          <t>A 5807-2024</t>
        </is>
      </c>
      <c r="B35" s="1" t="n">
        <v>45335</v>
      </c>
      <c r="C35" s="1" t="n">
        <v>46200</v>
      </c>
      <c r="D35" t="inlineStr">
        <is>
          <t>VÄSTRA GÖTALANDS LÄN</t>
        </is>
      </c>
      <c r="E35" t="inlineStr">
        <is>
          <t>FALKÖPING</t>
        </is>
      </c>
      <c r="G35" t="n">
        <v>3.9</v>
      </c>
      <c r="H35" t="n">
        <v>1</v>
      </c>
      <c r="I35" t="n">
        <v>0</v>
      </c>
      <c r="J35" t="n">
        <v>1</v>
      </c>
      <c r="K35" t="n">
        <v>0</v>
      </c>
      <c r="L35" t="n">
        <v>0</v>
      </c>
      <c r="M35" t="n">
        <v>0</v>
      </c>
      <c r="N35" t="n">
        <v>0</v>
      </c>
      <c r="O35" t="n">
        <v>1</v>
      </c>
      <c r="P35" t="n">
        <v>0</v>
      </c>
      <c r="Q35" t="n">
        <v>1</v>
      </c>
      <c r="R35" s="2" t="inlineStr">
        <is>
          <t>Duvhök</t>
        </is>
      </c>
      <c r="S35">
        <f>HYPERLINK("https://klasma.github.io/Logging_1499/artfynd/A 5807-2024 artfynd.xlsx", "A 5807-2024")</f>
        <v/>
      </c>
      <c r="T35">
        <f>HYPERLINK("https://klasma.github.io/Logging_1499/kartor/A 5807-2024 karta.png", "A 5807-2024")</f>
        <v/>
      </c>
      <c r="V35">
        <f>HYPERLINK("https://klasma.github.io/Logging_1499/klagomål/A 5807-2024 FSC-klagomål.docx", "A 5807-2024")</f>
        <v/>
      </c>
      <c r="W35">
        <f>HYPERLINK("https://klasma.github.io/Logging_1499/klagomålsmail/A 5807-2024 FSC-klagomål mail.docx", "A 5807-2024")</f>
        <v/>
      </c>
      <c r="X35">
        <f>HYPERLINK("https://klasma.github.io/Logging_1499/tillsyn/A 5807-2024 tillsynsbegäran.docx", "A 5807-2024")</f>
        <v/>
      </c>
      <c r="Y35">
        <f>HYPERLINK("https://klasma.github.io/Logging_1499/tillsynsmail/A 5807-2024 tillsynsbegäran mail.docx", "A 5807-2024")</f>
        <v/>
      </c>
      <c r="Z35">
        <f>HYPERLINK("https://klasma.github.io/Logging_1499/fåglar/A 5807-2024 prioriterade fågelarter.docx", "A 5807-2024")</f>
        <v/>
      </c>
    </row>
    <row r="36" ht="15" customHeight="1">
      <c r="A36" t="inlineStr">
        <is>
          <t>A 61037-2024</t>
        </is>
      </c>
      <c r="B36" s="1" t="n">
        <v>45645</v>
      </c>
      <c r="C36" s="1" t="n">
        <v>46200</v>
      </c>
      <c r="D36" t="inlineStr">
        <is>
          <t>VÄSTRA GÖTALANDS LÄN</t>
        </is>
      </c>
      <c r="E36" t="inlineStr">
        <is>
          <t>FALKÖPING</t>
        </is>
      </c>
      <c r="G36" t="n">
        <v>1.6</v>
      </c>
      <c r="H36" t="n">
        <v>1</v>
      </c>
      <c r="I36" t="n">
        <v>0</v>
      </c>
      <c r="J36" t="n">
        <v>0</v>
      </c>
      <c r="K36" t="n">
        <v>0</v>
      </c>
      <c r="L36" t="n">
        <v>1</v>
      </c>
      <c r="M36" t="n">
        <v>0</v>
      </c>
      <c r="N36" t="n">
        <v>0</v>
      </c>
      <c r="O36" t="n">
        <v>1</v>
      </c>
      <c r="P36" t="n">
        <v>1</v>
      </c>
      <c r="Q36" t="n">
        <v>1</v>
      </c>
      <c r="R36" s="2" t="inlineStr">
        <is>
          <t>Läkeögontröst</t>
        </is>
      </c>
      <c r="S36">
        <f>HYPERLINK("https://klasma.github.io/Logging_1499/artfynd/A 61037-2024 artfynd.xlsx", "A 61037-2024")</f>
        <v/>
      </c>
      <c r="T36">
        <f>HYPERLINK("https://klasma.github.io/Logging_1499/kartor/A 61037-2024 karta.png", "A 61037-2024")</f>
        <v/>
      </c>
      <c r="V36">
        <f>HYPERLINK("https://klasma.github.io/Logging_1499/klagomål/A 61037-2024 FSC-klagomål.docx", "A 61037-2024")</f>
        <v/>
      </c>
      <c r="W36">
        <f>HYPERLINK("https://klasma.github.io/Logging_1499/klagomålsmail/A 61037-2024 FSC-klagomål mail.docx", "A 61037-2024")</f>
        <v/>
      </c>
      <c r="X36">
        <f>HYPERLINK("https://klasma.github.io/Logging_1499/tillsyn/A 61037-2024 tillsynsbegäran.docx", "A 61037-2024")</f>
        <v/>
      </c>
      <c r="Y36">
        <f>HYPERLINK("https://klasma.github.io/Logging_1499/tillsynsmail/A 61037-2024 tillsynsbegäran mail.docx", "A 61037-2024")</f>
        <v/>
      </c>
    </row>
    <row r="37" ht="15" customHeight="1">
      <c r="A37" t="inlineStr">
        <is>
          <t>A 45428-2024</t>
        </is>
      </c>
      <c r="B37" s="1" t="n">
        <v>45576</v>
      </c>
      <c r="C37" s="1" t="n">
        <v>46200</v>
      </c>
      <c r="D37" t="inlineStr">
        <is>
          <t>VÄSTRA GÖTALANDS LÄN</t>
        </is>
      </c>
      <c r="E37" t="inlineStr">
        <is>
          <t>FALKÖPING</t>
        </is>
      </c>
      <c r="F37" t="inlineStr">
        <is>
          <t>Kommuner</t>
        </is>
      </c>
      <c r="G37" t="n">
        <v>4.8</v>
      </c>
      <c r="H37" t="n">
        <v>0</v>
      </c>
      <c r="I37" t="n">
        <v>1</v>
      </c>
      <c r="J37" t="n">
        <v>0</v>
      </c>
      <c r="K37" t="n">
        <v>0</v>
      </c>
      <c r="L37" t="n">
        <v>0</v>
      </c>
      <c r="M37" t="n">
        <v>0</v>
      </c>
      <c r="N37" t="n">
        <v>0</v>
      </c>
      <c r="O37" t="n">
        <v>0</v>
      </c>
      <c r="P37" t="n">
        <v>0</v>
      </c>
      <c r="Q37" t="n">
        <v>1</v>
      </c>
      <c r="R37" s="2" t="inlineStr">
        <is>
          <t>Blåmossa</t>
        </is>
      </c>
      <c r="S37">
        <f>HYPERLINK("https://klasma.github.io/Logging_1499/artfynd/A 45428-2024 artfynd.xlsx", "A 45428-2024")</f>
        <v/>
      </c>
      <c r="T37">
        <f>HYPERLINK("https://klasma.github.io/Logging_1499/kartor/A 45428-2024 karta.png", "A 45428-2024")</f>
        <v/>
      </c>
      <c r="V37">
        <f>HYPERLINK("https://klasma.github.io/Logging_1499/klagomål/A 45428-2024 FSC-klagomål.docx", "A 45428-2024")</f>
        <v/>
      </c>
      <c r="W37">
        <f>HYPERLINK("https://klasma.github.io/Logging_1499/klagomålsmail/A 45428-2024 FSC-klagomål mail.docx", "A 45428-2024")</f>
        <v/>
      </c>
      <c r="X37">
        <f>HYPERLINK("https://klasma.github.io/Logging_1499/tillsyn/A 45428-2024 tillsynsbegäran.docx", "A 45428-2024")</f>
        <v/>
      </c>
      <c r="Y37">
        <f>HYPERLINK("https://klasma.github.io/Logging_1499/tillsynsmail/A 45428-2024 tillsynsbegäran mail.docx", "A 45428-2024")</f>
        <v/>
      </c>
    </row>
    <row r="38" ht="15" customHeight="1">
      <c r="A38" t="inlineStr">
        <is>
          <t>A 52594-2025</t>
        </is>
      </c>
      <c r="B38" s="1" t="n">
        <v>45954</v>
      </c>
      <c r="C38" s="1" t="n">
        <v>46200</v>
      </c>
      <c r="D38" t="inlineStr">
        <is>
          <t>VÄSTRA GÖTALANDS LÄN</t>
        </is>
      </c>
      <c r="E38" t="inlineStr">
        <is>
          <t>FALKÖPING</t>
        </is>
      </c>
      <c r="G38" t="n">
        <v>6.4</v>
      </c>
      <c r="H38" t="n">
        <v>0</v>
      </c>
      <c r="I38" t="n">
        <v>0</v>
      </c>
      <c r="J38" t="n">
        <v>1</v>
      </c>
      <c r="K38" t="n">
        <v>0</v>
      </c>
      <c r="L38" t="n">
        <v>0</v>
      </c>
      <c r="M38" t="n">
        <v>0</v>
      </c>
      <c r="N38" t="n">
        <v>0</v>
      </c>
      <c r="O38" t="n">
        <v>1</v>
      </c>
      <c r="P38" t="n">
        <v>0</v>
      </c>
      <c r="Q38" t="n">
        <v>1</v>
      </c>
      <c r="R38" s="2" t="inlineStr">
        <is>
          <t>Klasefibbla</t>
        </is>
      </c>
      <c r="S38">
        <f>HYPERLINK("https://klasma.github.io/Logging_1499/artfynd/A 52594-2025 artfynd.xlsx", "A 52594-2025")</f>
        <v/>
      </c>
      <c r="T38">
        <f>HYPERLINK("https://klasma.github.io/Logging_1499/kartor/A 52594-2025 karta.png", "A 52594-2025")</f>
        <v/>
      </c>
      <c r="V38">
        <f>HYPERLINK("https://klasma.github.io/Logging_1499/klagomål/A 52594-2025 FSC-klagomål.docx", "A 52594-2025")</f>
        <v/>
      </c>
      <c r="W38">
        <f>HYPERLINK("https://klasma.github.io/Logging_1499/klagomålsmail/A 52594-2025 FSC-klagomål mail.docx", "A 52594-2025")</f>
        <v/>
      </c>
      <c r="X38">
        <f>HYPERLINK("https://klasma.github.io/Logging_1499/tillsyn/A 52594-2025 tillsynsbegäran.docx", "A 52594-2025")</f>
        <v/>
      </c>
      <c r="Y38">
        <f>HYPERLINK("https://klasma.github.io/Logging_1499/tillsynsmail/A 52594-2025 tillsynsbegäran mail.docx", "A 52594-2025")</f>
        <v/>
      </c>
    </row>
    <row r="39" ht="15" customHeight="1">
      <c r="A39" t="inlineStr">
        <is>
          <t>A 14048-2025</t>
        </is>
      </c>
      <c r="B39" s="1" t="n">
        <v>45740</v>
      </c>
      <c r="C39" s="1" t="n">
        <v>46200</v>
      </c>
      <c r="D39" t="inlineStr">
        <is>
          <t>VÄSTRA GÖTALANDS LÄN</t>
        </is>
      </c>
      <c r="E39" t="inlineStr">
        <is>
          <t>FALKÖPING</t>
        </is>
      </c>
      <c r="G39" t="n">
        <v>1.7</v>
      </c>
      <c r="H39" t="n">
        <v>1</v>
      </c>
      <c r="I39" t="n">
        <v>0</v>
      </c>
      <c r="J39" t="n">
        <v>0</v>
      </c>
      <c r="K39" t="n">
        <v>0</v>
      </c>
      <c r="L39" t="n">
        <v>0</v>
      </c>
      <c r="M39" t="n">
        <v>0</v>
      </c>
      <c r="N39" t="n">
        <v>0</v>
      </c>
      <c r="O39" t="n">
        <v>0</v>
      </c>
      <c r="P39" t="n">
        <v>0</v>
      </c>
      <c r="Q39" t="n">
        <v>1</v>
      </c>
      <c r="R39" s="2" t="inlineStr">
        <is>
          <t>Fläcknycklar</t>
        </is>
      </c>
      <c r="S39">
        <f>HYPERLINK("https://klasma.github.io/Logging_1499/artfynd/A 14048-2025 artfynd.xlsx", "A 14048-2025")</f>
        <v/>
      </c>
      <c r="T39">
        <f>HYPERLINK("https://klasma.github.io/Logging_1499/kartor/A 14048-2025 karta.png", "A 14048-2025")</f>
        <v/>
      </c>
      <c r="V39">
        <f>HYPERLINK("https://klasma.github.io/Logging_1499/klagomål/A 14048-2025 FSC-klagomål.docx", "A 14048-2025")</f>
        <v/>
      </c>
      <c r="W39">
        <f>HYPERLINK("https://klasma.github.io/Logging_1499/klagomålsmail/A 14048-2025 FSC-klagomål mail.docx", "A 14048-2025")</f>
        <v/>
      </c>
      <c r="X39">
        <f>HYPERLINK("https://klasma.github.io/Logging_1499/tillsyn/A 14048-2025 tillsynsbegäran.docx", "A 14048-2025")</f>
        <v/>
      </c>
      <c r="Y39">
        <f>HYPERLINK("https://klasma.github.io/Logging_1499/tillsynsmail/A 14048-2025 tillsynsbegäran mail.docx", "A 14048-2025")</f>
        <v/>
      </c>
    </row>
    <row r="40" ht="15" customHeight="1">
      <c r="A40" t="inlineStr">
        <is>
          <t>A 53809-2025</t>
        </is>
      </c>
      <c r="B40" s="1" t="n">
        <v>45960</v>
      </c>
      <c r="C40" s="1" t="n">
        <v>46200</v>
      </c>
      <c r="D40" t="inlineStr">
        <is>
          <t>VÄSTRA GÖTALANDS LÄN</t>
        </is>
      </c>
      <c r="E40" t="inlineStr">
        <is>
          <t>FALKÖPING</t>
        </is>
      </c>
      <c r="G40" t="n">
        <v>2.5</v>
      </c>
      <c r="H40" t="n">
        <v>0</v>
      </c>
      <c r="I40" t="n">
        <v>0</v>
      </c>
      <c r="J40" t="n">
        <v>0</v>
      </c>
      <c r="K40" t="n">
        <v>1</v>
      </c>
      <c r="L40" t="n">
        <v>0</v>
      </c>
      <c r="M40" t="n">
        <v>0</v>
      </c>
      <c r="N40" t="n">
        <v>0</v>
      </c>
      <c r="O40" t="n">
        <v>1</v>
      </c>
      <c r="P40" t="n">
        <v>1</v>
      </c>
      <c r="Q40" t="n">
        <v>1</v>
      </c>
      <c r="R40" s="2" t="inlineStr">
        <is>
          <t>Slåttergubbe</t>
        </is>
      </c>
      <c r="S40">
        <f>HYPERLINK("https://klasma.github.io/Logging_1499/artfynd/A 53809-2025 artfynd.xlsx", "A 53809-2025")</f>
        <v/>
      </c>
      <c r="T40">
        <f>HYPERLINK("https://klasma.github.io/Logging_1499/kartor/A 53809-2025 karta.png", "A 53809-2025")</f>
        <v/>
      </c>
      <c r="V40">
        <f>HYPERLINK("https://klasma.github.io/Logging_1499/klagomål/A 53809-2025 FSC-klagomål.docx", "A 53809-2025")</f>
        <v/>
      </c>
      <c r="W40">
        <f>HYPERLINK("https://klasma.github.io/Logging_1499/klagomålsmail/A 53809-2025 FSC-klagomål mail.docx", "A 53809-2025")</f>
        <v/>
      </c>
      <c r="X40">
        <f>HYPERLINK("https://klasma.github.io/Logging_1499/tillsyn/A 53809-2025 tillsynsbegäran.docx", "A 53809-2025")</f>
        <v/>
      </c>
      <c r="Y40">
        <f>HYPERLINK("https://klasma.github.io/Logging_1499/tillsynsmail/A 53809-2025 tillsynsbegäran mail.docx", "A 53809-2025")</f>
        <v/>
      </c>
    </row>
    <row r="41" ht="15" customHeight="1">
      <c r="A41" t="inlineStr">
        <is>
          <t>A 8971-2024</t>
        </is>
      </c>
      <c r="B41" s="1" t="n">
        <v>45357</v>
      </c>
      <c r="C41" s="1" t="n">
        <v>46200</v>
      </c>
      <c r="D41" t="inlineStr">
        <is>
          <t>VÄSTRA GÖTALANDS LÄN</t>
        </is>
      </c>
      <c r="E41" t="inlineStr">
        <is>
          <t>FALKÖPING</t>
        </is>
      </c>
      <c r="G41" t="n">
        <v>2.2</v>
      </c>
      <c r="H41" t="n">
        <v>1</v>
      </c>
      <c r="I41" t="n">
        <v>0</v>
      </c>
      <c r="J41" t="n">
        <v>0</v>
      </c>
      <c r="K41" t="n">
        <v>0</v>
      </c>
      <c r="L41" t="n">
        <v>1</v>
      </c>
      <c r="M41" t="n">
        <v>0</v>
      </c>
      <c r="N41" t="n">
        <v>0</v>
      </c>
      <c r="O41" t="n">
        <v>1</v>
      </c>
      <c r="P41" t="n">
        <v>1</v>
      </c>
      <c r="Q41" t="n">
        <v>1</v>
      </c>
      <c r="R41" s="2" t="inlineStr">
        <is>
          <t>Läkeögontröst</t>
        </is>
      </c>
      <c r="S41">
        <f>HYPERLINK("https://klasma.github.io/Logging_1499/artfynd/A 8971-2024 artfynd.xlsx", "A 8971-2024")</f>
        <v/>
      </c>
      <c r="T41">
        <f>HYPERLINK("https://klasma.github.io/Logging_1499/kartor/A 8971-2024 karta.png", "A 8971-2024")</f>
        <v/>
      </c>
      <c r="V41">
        <f>HYPERLINK("https://klasma.github.io/Logging_1499/klagomål/A 8971-2024 FSC-klagomål.docx", "A 8971-2024")</f>
        <v/>
      </c>
      <c r="W41">
        <f>HYPERLINK("https://klasma.github.io/Logging_1499/klagomålsmail/A 8971-2024 FSC-klagomål mail.docx", "A 8971-2024")</f>
        <v/>
      </c>
      <c r="X41">
        <f>HYPERLINK("https://klasma.github.io/Logging_1499/tillsyn/A 8971-2024 tillsynsbegäran.docx", "A 8971-2024")</f>
        <v/>
      </c>
      <c r="Y41">
        <f>HYPERLINK("https://klasma.github.io/Logging_1499/tillsynsmail/A 8971-2024 tillsynsbegäran mail.docx", "A 8971-2024")</f>
        <v/>
      </c>
    </row>
    <row r="42" ht="15" customHeight="1">
      <c r="A42" t="inlineStr">
        <is>
          <t>A 61986-2025</t>
        </is>
      </c>
      <c r="B42" s="1" t="n">
        <v>46003</v>
      </c>
      <c r="C42" s="1" t="n">
        <v>46200</v>
      </c>
      <c r="D42" t="inlineStr">
        <is>
          <t>VÄSTRA GÖTALANDS LÄN</t>
        </is>
      </c>
      <c r="E42" t="inlineStr">
        <is>
          <t>FALKÖPING</t>
        </is>
      </c>
      <c r="G42" t="n">
        <v>5.3</v>
      </c>
      <c r="H42" t="n">
        <v>1</v>
      </c>
      <c r="I42" t="n">
        <v>0</v>
      </c>
      <c r="J42" t="n">
        <v>0</v>
      </c>
      <c r="K42" t="n">
        <v>0</v>
      </c>
      <c r="L42" t="n">
        <v>0</v>
      </c>
      <c r="M42" t="n">
        <v>0</v>
      </c>
      <c r="N42" t="n">
        <v>0</v>
      </c>
      <c r="O42" t="n">
        <v>0</v>
      </c>
      <c r="P42" t="n">
        <v>0</v>
      </c>
      <c r="Q42" t="n">
        <v>1</v>
      </c>
      <c r="R42" s="2" t="inlineStr">
        <is>
          <t>Lopplummer (aggregat)</t>
        </is>
      </c>
      <c r="S42">
        <f>HYPERLINK("https://klasma.github.io/Logging_1499/artfynd/A 61986-2025 artfynd.xlsx", "A 61986-2025")</f>
        <v/>
      </c>
      <c r="T42">
        <f>HYPERLINK("https://klasma.github.io/Logging_1499/kartor/A 61986-2025 karta.png", "A 61986-2025")</f>
        <v/>
      </c>
      <c r="V42">
        <f>HYPERLINK("https://klasma.github.io/Logging_1499/klagomål/A 61986-2025 FSC-klagomål.docx", "A 61986-2025")</f>
        <v/>
      </c>
      <c r="W42">
        <f>HYPERLINK("https://klasma.github.io/Logging_1499/klagomålsmail/A 61986-2025 FSC-klagomål mail.docx", "A 61986-2025")</f>
        <v/>
      </c>
      <c r="X42">
        <f>HYPERLINK("https://klasma.github.io/Logging_1499/tillsyn/A 61986-2025 tillsynsbegäran.docx", "A 61986-2025")</f>
        <v/>
      </c>
      <c r="Y42">
        <f>HYPERLINK("https://klasma.github.io/Logging_1499/tillsynsmail/A 61986-2025 tillsynsbegäran mail.docx", "A 61986-2025")</f>
        <v/>
      </c>
    </row>
    <row r="43" ht="15" customHeight="1">
      <c r="A43" t="inlineStr">
        <is>
          <t>A 62143-2025</t>
        </is>
      </c>
      <c r="B43" s="1" t="n">
        <v>46006</v>
      </c>
      <c r="C43" s="1" t="n">
        <v>46200</v>
      </c>
      <c r="D43" t="inlineStr">
        <is>
          <t>VÄSTRA GÖTALANDS LÄN</t>
        </is>
      </c>
      <c r="E43" t="inlineStr">
        <is>
          <t>FALKÖPING</t>
        </is>
      </c>
      <c r="G43" t="n">
        <v>2.4</v>
      </c>
      <c r="H43" t="n">
        <v>1</v>
      </c>
      <c r="I43" t="n">
        <v>0</v>
      </c>
      <c r="J43" t="n">
        <v>0</v>
      </c>
      <c r="K43" t="n">
        <v>0</v>
      </c>
      <c r="L43" t="n">
        <v>0</v>
      </c>
      <c r="M43" t="n">
        <v>0</v>
      </c>
      <c r="N43" t="n">
        <v>0</v>
      </c>
      <c r="O43" t="n">
        <v>0</v>
      </c>
      <c r="P43" t="n">
        <v>0</v>
      </c>
      <c r="Q43" t="n">
        <v>1</v>
      </c>
      <c r="R43" s="2" t="inlineStr">
        <is>
          <t>Lopplummer (aggregat)</t>
        </is>
      </c>
      <c r="S43">
        <f>HYPERLINK("https://klasma.github.io/Logging_1499/artfynd/A 62143-2025 artfynd.xlsx", "A 62143-2025")</f>
        <v/>
      </c>
      <c r="T43">
        <f>HYPERLINK("https://klasma.github.io/Logging_1499/kartor/A 62143-2025 karta.png", "A 62143-2025")</f>
        <v/>
      </c>
      <c r="V43">
        <f>HYPERLINK("https://klasma.github.io/Logging_1499/klagomål/A 62143-2025 FSC-klagomål.docx", "A 62143-2025")</f>
        <v/>
      </c>
      <c r="W43">
        <f>HYPERLINK("https://klasma.github.io/Logging_1499/klagomålsmail/A 62143-2025 FSC-klagomål mail.docx", "A 62143-2025")</f>
        <v/>
      </c>
      <c r="X43">
        <f>HYPERLINK("https://klasma.github.io/Logging_1499/tillsyn/A 62143-2025 tillsynsbegäran.docx", "A 62143-2025")</f>
        <v/>
      </c>
      <c r="Y43">
        <f>HYPERLINK("https://klasma.github.io/Logging_1499/tillsynsmail/A 62143-2025 tillsynsbegäran mail.docx", "A 62143-2025")</f>
        <v/>
      </c>
    </row>
    <row r="44" ht="15" customHeight="1">
      <c r="A44" t="inlineStr">
        <is>
          <t>A 6389-2026</t>
        </is>
      </c>
      <c r="B44" s="1" t="n">
        <v>46055</v>
      </c>
      <c r="C44" s="1" t="n">
        <v>46200</v>
      </c>
      <c r="D44" t="inlineStr">
        <is>
          <t>VÄSTRA GÖTALANDS LÄN</t>
        </is>
      </c>
      <c r="E44" t="inlineStr">
        <is>
          <t>FALKÖPING</t>
        </is>
      </c>
      <c r="G44" t="n">
        <v>3.4</v>
      </c>
      <c r="H44" t="n">
        <v>0</v>
      </c>
      <c r="I44" t="n">
        <v>0</v>
      </c>
      <c r="J44" t="n">
        <v>0</v>
      </c>
      <c r="K44" t="n">
        <v>1</v>
      </c>
      <c r="L44" t="n">
        <v>0</v>
      </c>
      <c r="M44" t="n">
        <v>0</v>
      </c>
      <c r="N44" t="n">
        <v>0</v>
      </c>
      <c r="O44" t="n">
        <v>1</v>
      </c>
      <c r="P44" t="n">
        <v>1</v>
      </c>
      <c r="Q44" t="n">
        <v>1</v>
      </c>
      <c r="R44" s="2" t="inlineStr">
        <is>
          <t>Igelkott</t>
        </is>
      </c>
      <c r="S44">
        <f>HYPERLINK("https://klasma.github.io/Logging_1499/artfynd/A 6389-2026 artfynd.xlsx", "A 6389-2026")</f>
        <v/>
      </c>
      <c r="T44">
        <f>HYPERLINK("https://klasma.github.io/Logging_1499/kartor/A 6389-2026 karta.png", "A 6389-2026")</f>
        <v/>
      </c>
      <c r="V44">
        <f>HYPERLINK("https://klasma.github.io/Logging_1499/klagomål/A 6389-2026 FSC-klagomål.docx", "A 6389-2026")</f>
        <v/>
      </c>
      <c r="W44">
        <f>HYPERLINK("https://klasma.github.io/Logging_1499/klagomålsmail/A 6389-2026 FSC-klagomål mail.docx", "A 6389-2026")</f>
        <v/>
      </c>
      <c r="X44">
        <f>HYPERLINK("https://klasma.github.io/Logging_1499/tillsyn/A 6389-2026 tillsynsbegäran.docx", "A 6389-2026")</f>
        <v/>
      </c>
      <c r="Y44">
        <f>HYPERLINK("https://klasma.github.io/Logging_1499/tillsynsmail/A 6389-2026 tillsynsbegäran mail.docx", "A 6389-2026")</f>
        <v/>
      </c>
    </row>
    <row r="45" ht="15" customHeight="1">
      <c r="A45" t="inlineStr">
        <is>
          <t>A 7384-2026</t>
        </is>
      </c>
      <c r="B45" s="1" t="n">
        <v>46059</v>
      </c>
      <c r="C45" s="1" t="n">
        <v>46200</v>
      </c>
      <c r="D45" t="inlineStr">
        <is>
          <t>VÄSTRA GÖTALANDS LÄN</t>
        </is>
      </c>
      <c r="E45" t="inlineStr">
        <is>
          <t>FALKÖPING</t>
        </is>
      </c>
      <c r="G45" t="n">
        <v>1</v>
      </c>
      <c r="H45" t="n">
        <v>1</v>
      </c>
      <c r="I45" t="n">
        <v>0</v>
      </c>
      <c r="J45" t="n">
        <v>1</v>
      </c>
      <c r="K45" t="n">
        <v>0</v>
      </c>
      <c r="L45" t="n">
        <v>0</v>
      </c>
      <c r="M45" t="n">
        <v>0</v>
      </c>
      <c r="N45" t="n">
        <v>0</v>
      </c>
      <c r="O45" t="n">
        <v>1</v>
      </c>
      <c r="P45" t="n">
        <v>0</v>
      </c>
      <c r="Q45" t="n">
        <v>1</v>
      </c>
      <c r="R45" s="2" t="inlineStr">
        <is>
          <t>Entita</t>
        </is>
      </c>
      <c r="S45">
        <f>HYPERLINK("https://klasma.github.io/Logging_1499/artfynd/A 7384-2026 artfynd.xlsx", "A 7384-2026")</f>
        <v/>
      </c>
      <c r="T45">
        <f>HYPERLINK("https://klasma.github.io/Logging_1499/kartor/A 7384-2026 karta.png", "A 7384-2026")</f>
        <v/>
      </c>
      <c r="V45">
        <f>HYPERLINK("https://klasma.github.io/Logging_1499/klagomål/A 7384-2026 FSC-klagomål.docx", "A 7384-2026")</f>
        <v/>
      </c>
      <c r="W45">
        <f>HYPERLINK("https://klasma.github.io/Logging_1499/klagomålsmail/A 7384-2026 FSC-klagomål mail.docx", "A 7384-2026")</f>
        <v/>
      </c>
      <c r="X45">
        <f>HYPERLINK("https://klasma.github.io/Logging_1499/tillsyn/A 7384-2026 tillsynsbegäran.docx", "A 7384-2026")</f>
        <v/>
      </c>
      <c r="Y45">
        <f>HYPERLINK("https://klasma.github.io/Logging_1499/tillsynsmail/A 7384-2026 tillsynsbegäran mail.docx", "A 7384-2026")</f>
        <v/>
      </c>
      <c r="Z45">
        <f>HYPERLINK("https://klasma.github.io/Logging_1499/fåglar/A 7384-2026 prioriterade fågelarter.docx", "A 7384-2026")</f>
        <v/>
      </c>
    </row>
    <row r="46" ht="15" customHeight="1">
      <c r="A46" t="inlineStr">
        <is>
          <t>A 10599-2026</t>
        </is>
      </c>
      <c r="B46" s="1" t="n">
        <v>46077</v>
      </c>
      <c r="C46" s="1" t="n">
        <v>46200</v>
      </c>
      <c r="D46" t="inlineStr">
        <is>
          <t>VÄSTRA GÖTALANDS LÄN</t>
        </is>
      </c>
      <c r="E46" t="inlineStr">
        <is>
          <t>FALKÖPING</t>
        </is>
      </c>
      <c r="G46" t="n">
        <v>4.1</v>
      </c>
      <c r="H46" t="n">
        <v>0</v>
      </c>
      <c r="I46" t="n">
        <v>0</v>
      </c>
      <c r="J46" t="n">
        <v>1</v>
      </c>
      <c r="K46" t="n">
        <v>0</v>
      </c>
      <c r="L46" t="n">
        <v>0</v>
      </c>
      <c r="M46" t="n">
        <v>0</v>
      </c>
      <c r="N46" t="n">
        <v>0</v>
      </c>
      <c r="O46" t="n">
        <v>1</v>
      </c>
      <c r="P46" t="n">
        <v>0</v>
      </c>
      <c r="Q46" t="n">
        <v>1</v>
      </c>
      <c r="R46" s="2" t="inlineStr">
        <is>
          <t>Gullpudra</t>
        </is>
      </c>
      <c r="S46">
        <f>HYPERLINK("https://klasma.github.io/Logging_1499/artfynd/A 10599-2026 artfynd.xlsx", "A 10599-2026")</f>
        <v/>
      </c>
      <c r="T46">
        <f>HYPERLINK("https://klasma.github.io/Logging_1499/kartor/A 10599-2026 karta.png", "A 10599-2026")</f>
        <v/>
      </c>
      <c r="V46">
        <f>HYPERLINK("https://klasma.github.io/Logging_1499/klagomål/A 10599-2026 FSC-klagomål.docx", "A 10599-2026")</f>
        <v/>
      </c>
      <c r="W46">
        <f>HYPERLINK("https://klasma.github.io/Logging_1499/klagomålsmail/A 10599-2026 FSC-klagomål mail.docx", "A 10599-2026")</f>
        <v/>
      </c>
      <c r="X46">
        <f>HYPERLINK("https://klasma.github.io/Logging_1499/tillsyn/A 10599-2026 tillsynsbegäran.docx", "A 10599-2026")</f>
        <v/>
      </c>
      <c r="Y46">
        <f>HYPERLINK("https://klasma.github.io/Logging_1499/tillsynsmail/A 10599-2026 tillsynsbegäran mail.docx", "A 10599-2026")</f>
        <v/>
      </c>
    </row>
    <row r="47" ht="15" customHeight="1">
      <c r="A47" t="inlineStr">
        <is>
          <t>A 46378-2025</t>
        </is>
      </c>
      <c r="B47" s="1" t="n">
        <v>45925</v>
      </c>
      <c r="C47" s="1" t="n">
        <v>46200</v>
      </c>
      <c r="D47" t="inlineStr">
        <is>
          <t>VÄSTRA GÖTALANDS LÄN</t>
        </is>
      </c>
      <c r="E47" t="inlineStr">
        <is>
          <t>FALKÖPING</t>
        </is>
      </c>
      <c r="G47" t="n">
        <v>5.3</v>
      </c>
      <c r="H47" t="n">
        <v>0</v>
      </c>
      <c r="I47" t="n">
        <v>0</v>
      </c>
      <c r="J47" t="n">
        <v>0</v>
      </c>
      <c r="K47" t="n">
        <v>0</v>
      </c>
      <c r="L47" t="n">
        <v>1</v>
      </c>
      <c r="M47" t="n">
        <v>0</v>
      </c>
      <c r="N47" t="n">
        <v>0</v>
      </c>
      <c r="O47" t="n">
        <v>1</v>
      </c>
      <c r="P47" t="n">
        <v>1</v>
      </c>
      <c r="Q47" t="n">
        <v>1</v>
      </c>
      <c r="R47" s="2" t="inlineStr">
        <is>
          <t>Skogsalm</t>
        </is>
      </c>
      <c r="S47">
        <f>HYPERLINK("https://klasma.github.io/Logging_1499/artfynd/A 46378-2025 artfynd.xlsx", "A 46378-2025")</f>
        <v/>
      </c>
      <c r="T47">
        <f>HYPERLINK("https://klasma.github.io/Logging_1499/kartor/A 46378-2025 karta.png", "A 46378-2025")</f>
        <v/>
      </c>
      <c r="V47">
        <f>HYPERLINK("https://klasma.github.io/Logging_1499/klagomål/A 46378-2025 FSC-klagomål.docx", "A 46378-2025")</f>
        <v/>
      </c>
      <c r="W47">
        <f>HYPERLINK("https://klasma.github.io/Logging_1499/klagomålsmail/A 46378-2025 FSC-klagomål mail.docx", "A 46378-2025")</f>
        <v/>
      </c>
      <c r="X47">
        <f>HYPERLINK("https://klasma.github.io/Logging_1499/tillsyn/A 46378-2025 tillsynsbegäran.docx", "A 46378-2025")</f>
        <v/>
      </c>
      <c r="Y47">
        <f>HYPERLINK("https://klasma.github.io/Logging_1499/tillsynsmail/A 46378-2025 tillsynsbegäran mail.docx", "A 46378-2025")</f>
        <v/>
      </c>
    </row>
    <row r="48" ht="15" customHeight="1">
      <c r="A48" t="inlineStr">
        <is>
          <t>A 39682-2021</t>
        </is>
      </c>
      <c r="B48" s="1" t="n">
        <v>44417</v>
      </c>
      <c r="C48" s="1" t="n">
        <v>46200</v>
      </c>
      <c r="D48" t="inlineStr">
        <is>
          <t>VÄSTRA GÖTALANDS LÄN</t>
        </is>
      </c>
      <c r="E48" t="inlineStr">
        <is>
          <t>FALKÖPING</t>
        </is>
      </c>
      <c r="G48" t="n">
        <v>0.7</v>
      </c>
      <c r="H48" t="n">
        <v>0</v>
      </c>
      <c r="I48" t="n">
        <v>0</v>
      </c>
      <c r="J48" t="n">
        <v>0</v>
      </c>
      <c r="K48" t="n">
        <v>0</v>
      </c>
      <c r="L48" t="n">
        <v>0</v>
      </c>
      <c r="M48" t="n">
        <v>0</v>
      </c>
      <c r="N48" t="n">
        <v>0</v>
      </c>
      <c r="O48" t="n">
        <v>0</v>
      </c>
      <c r="P48" t="n">
        <v>0</v>
      </c>
      <c r="Q48" t="n">
        <v>0</v>
      </c>
      <c r="R48" s="2" t="inlineStr"/>
    </row>
    <row r="49" ht="15" customHeight="1">
      <c r="A49" t="inlineStr">
        <is>
          <t>A 53548-2021</t>
        </is>
      </c>
      <c r="B49" s="1" t="n">
        <v>44469</v>
      </c>
      <c r="C49" s="1" t="n">
        <v>46200</v>
      </c>
      <c r="D49" t="inlineStr">
        <is>
          <t>VÄSTRA GÖTALANDS LÄN</t>
        </is>
      </c>
      <c r="E49" t="inlineStr">
        <is>
          <t>FALKÖPING</t>
        </is>
      </c>
      <c r="G49" t="n">
        <v>5.1</v>
      </c>
      <c r="H49" t="n">
        <v>0</v>
      </c>
      <c r="I49" t="n">
        <v>0</v>
      </c>
      <c r="J49" t="n">
        <v>0</v>
      </c>
      <c r="K49" t="n">
        <v>0</v>
      </c>
      <c r="L49" t="n">
        <v>0</v>
      </c>
      <c r="M49" t="n">
        <v>0</v>
      </c>
      <c r="N49" t="n">
        <v>0</v>
      </c>
      <c r="O49" t="n">
        <v>0</v>
      </c>
      <c r="P49" t="n">
        <v>0</v>
      </c>
      <c r="Q49" t="n">
        <v>0</v>
      </c>
      <c r="R49" s="2" t="inlineStr"/>
    </row>
    <row r="50" ht="15" customHeight="1">
      <c r="A50" t="inlineStr">
        <is>
          <t>A 64773-2021</t>
        </is>
      </c>
      <c r="B50" s="1" t="n">
        <v>44512</v>
      </c>
      <c r="C50" s="1" t="n">
        <v>46200</v>
      </c>
      <c r="D50" t="inlineStr">
        <is>
          <t>VÄSTRA GÖTALANDS LÄN</t>
        </is>
      </c>
      <c r="E50" t="inlineStr">
        <is>
          <t>FALKÖPING</t>
        </is>
      </c>
      <c r="G50" t="n">
        <v>1.5</v>
      </c>
      <c r="H50" t="n">
        <v>0</v>
      </c>
      <c r="I50" t="n">
        <v>0</v>
      </c>
      <c r="J50" t="n">
        <v>0</v>
      </c>
      <c r="K50" t="n">
        <v>0</v>
      </c>
      <c r="L50" t="n">
        <v>0</v>
      </c>
      <c r="M50" t="n">
        <v>0</v>
      </c>
      <c r="N50" t="n">
        <v>0</v>
      </c>
      <c r="O50" t="n">
        <v>0</v>
      </c>
      <c r="P50" t="n">
        <v>0</v>
      </c>
      <c r="Q50" t="n">
        <v>0</v>
      </c>
      <c r="R50" s="2" t="inlineStr"/>
    </row>
    <row r="51" ht="15" customHeight="1">
      <c r="A51" t="inlineStr">
        <is>
          <t>A 68698-2021</t>
        </is>
      </c>
      <c r="B51" s="1" t="n">
        <v>44529</v>
      </c>
      <c r="C51" s="1" t="n">
        <v>46200</v>
      </c>
      <c r="D51" t="inlineStr">
        <is>
          <t>VÄSTRA GÖTALANDS LÄN</t>
        </is>
      </c>
      <c r="E51" t="inlineStr">
        <is>
          <t>FALKÖPING</t>
        </is>
      </c>
      <c r="G51" t="n">
        <v>2.5</v>
      </c>
      <c r="H51" t="n">
        <v>0</v>
      </c>
      <c r="I51" t="n">
        <v>0</v>
      </c>
      <c r="J51" t="n">
        <v>0</v>
      </c>
      <c r="K51" t="n">
        <v>0</v>
      </c>
      <c r="L51" t="n">
        <v>0</v>
      </c>
      <c r="M51" t="n">
        <v>0</v>
      </c>
      <c r="N51" t="n">
        <v>0</v>
      </c>
      <c r="O51" t="n">
        <v>0</v>
      </c>
      <c r="P51" t="n">
        <v>0</v>
      </c>
      <c r="Q51" t="n">
        <v>0</v>
      </c>
      <c r="R51" s="2" t="inlineStr"/>
    </row>
    <row r="52" ht="15" customHeight="1">
      <c r="A52" t="inlineStr">
        <is>
          <t>A 62409-2021</t>
        </is>
      </c>
      <c r="B52" s="1" t="n">
        <v>44503</v>
      </c>
      <c r="C52" s="1" t="n">
        <v>46200</v>
      </c>
      <c r="D52" t="inlineStr">
        <is>
          <t>VÄSTRA GÖTALANDS LÄN</t>
        </is>
      </c>
      <c r="E52" t="inlineStr">
        <is>
          <t>FALKÖPING</t>
        </is>
      </c>
      <c r="F52" t="inlineStr">
        <is>
          <t>Naturvårdsverket</t>
        </is>
      </c>
      <c r="G52" t="n">
        <v>0.5</v>
      </c>
      <c r="H52" t="n">
        <v>0</v>
      </c>
      <c r="I52" t="n">
        <v>0</v>
      </c>
      <c r="J52" t="n">
        <v>0</v>
      </c>
      <c r="K52" t="n">
        <v>0</v>
      </c>
      <c r="L52" t="n">
        <v>0</v>
      </c>
      <c r="M52" t="n">
        <v>0</v>
      </c>
      <c r="N52" t="n">
        <v>0</v>
      </c>
      <c r="O52" t="n">
        <v>0</v>
      </c>
      <c r="P52" t="n">
        <v>0</v>
      </c>
      <c r="Q52" t="n">
        <v>0</v>
      </c>
      <c r="R52" s="2" t="inlineStr"/>
    </row>
    <row r="53" ht="15" customHeight="1">
      <c r="A53" t="inlineStr">
        <is>
          <t>A 74474-2021</t>
        </is>
      </c>
      <c r="B53" s="1" t="n">
        <v>44560</v>
      </c>
      <c r="C53" s="1" t="n">
        <v>46200</v>
      </c>
      <c r="D53" t="inlineStr">
        <is>
          <t>VÄSTRA GÖTALANDS LÄN</t>
        </is>
      </c>
      <c r="E53" t="inlineStr">
        <is>
          <t>FALKÖPING</t>
        </is>
      </c>
      <c r="G53" t="n">
        <v>1.1</v>
      </c>
      <c r="H53" t="n">
        <v>0</v>
      </c>
      <c r="I53" t="n">
        <v>0</v>
      </c>
      <c r="J53" t="n">
        <v>0</v>
      </c>
      <c r="K53" t="n">
        <v>0</v>
      </c>
      <c r="L53" t="n">
        <v>0</v>
      </c>
      <c r="M53" t="n">
        <v>0</v>
      </c>
      <c r="N53" t="n">
        <v>0</v>
      </c>
      <c r="O53" t="n">
        <v>0</v>
      </c>
      <c r="P53" t="n">
        <v>0</v>
      </c>
      <c r="Q53" t="n">
        <v>0</v>
      </c>
      <c r="R53" s="2" t="inlineStr"/>
    </row>
    <row r="54" ht="15" customHeight="1">
      <c r="A54" t="inlineStr">
        <is>
          <t>A 53975-2021</t>
        </is>
      </c>
      <c r="B54" s="1" t="n">
        <v>44470</v>
      </c>
      <c r="C54" s="1" t="n">
        <v>46200</v>
      </c>
      <c r="D54" t="inlineStr">
        <is>
          <t>VÄSTRA GÖTALANDS LÄN</t>
        </is>
      </c>
      <c r="E54" t="inlineStr">
        <is>
          <t>FALKÖPING</t>
        </is>
      </c>
      <c r="G54" t="n">
        <v>1.1</v>
      </c>
      <c r="H54" t="n">
        <v>0</v>
      </c>
      <c r="I54" t="n">
        <v>0</v>
      </c>
      <c r="J54" t="n">
        <v>0</v>
      </c>
      <c r="K54" t="n">
        <v>0</v>
      </c>
      <c r="L54" t="n">
        <v>0</v>
      </c>
      <c r="M54" t="n">
        <v>0</v>
      </c>
      <c r="N54" t="n">
        <v>0</v>
      </c>
      <c r="O54" t="n">
        <v>0</v>
      </c>
      <c r="P54" t="n">
        <v>0</v>
      </c>
      <c r="Q54" t="n">
        <v>0</v>
      </c>
      <c r="R54" s="2" t="inlineStr"/>
    </row>
    <row r="55" ht="15" customHeight="1">
      <c r="A55" t="inlineStr">
        <is>
          <t>A 74304-2021</t>
        </is>
      </c>
      <c r="B55" s="1" t="n">
        <v>44559</v>
      </c>
      <c r="C55" s="1" t="n">
        <v>46200</v>
      </c>
      <c r="D55" t="inlineStr">
        <is>
          <t>VÄSTRA GÖTALANDS LÄN</t>
        </is>
      </c>
      <c r="E55" t="inlineStr">
        <is>
          <t>FALKÖPING</t>
        </is>
      </c>
      <c r="G55" t="n">
        <v>0.6</v>
      </c>
      <c r="H55" t="n">
        <v>0</v>
      </c>
      <c r="I55" t="n">
        <v>0</v>
      </c>
      <c r="J55" t="n">
        <v>0</v>
      </c>
      <c r="K55" t="n">
        <v>0</v>
      </c>
      <c r="L55" t="n">
        <v>0</v>
      </c>
      <c r="M55" t="n">
        <v>0</v>
      </c>
      <c r="N55" t="n">
        <v>0</v>
      </c>
      <c r="O55" t="n">
        <v>0</v>
      </c>
      <c r="P55" t="n">
        <v>0</v>
      </c>
      <c r="Q55" t="n">
        <v>0</v>
      </c>
      <c r="R55" s="2" t="inlineStr"/>
    </row>
    <row r="56" ht="15" customHeight="1">
      <c r="A56" t="inlineStr">
        <is>
          <t>A 40714-2021</t>
        </is>
      </c>
      <c r="B56" s="1" t="n">
        <v>44420</v>
      </c>
      <c r="C56" s="1" t="n">
        <v>46200</v>
      </c>
      <c r="D56" t="inlineStr">
        <is>
          <t>VÄSTRA GÖTALANDS LÄN</t>
        </is>
      </c>
      <c r="E56" t="inlineStr">
        <is>
          <t>FALKÖPING</t>
        </is>
      </c>
      <c r="G56" t="n">
        <v>0.5</v>
      </c>
      <c r="H56" t="n">
        <v>0</v>
      </c>
      <c r="I56" t="n">
        <v>0</v>
      </c>
      <c r="J56" t="n">
        <v>0</v>
      </c>
      <c r="K56" t="n">
        <v>0</v>
      </c>
      <c r="L56" t="n">
        <v>0</v>
      </c>
      <c r="M56" t="n">
        <v>0</v>
      </c>
      <c r="N56" t="n">
        <v>0</v>
      </c>
      <c r="O56" t="n">
        <v>0</v>
      </c>
      <c r="P56" t="n">
        <v>0</v>
      </c>
      <c r="Q56" t="n">
        <v>0</v>
      </c>
      <c r="R56" s="2" t="inlineStr"/>
    </row>
    <row r="57" ht="15" customHeight="1">
      <c r="A57" t="inlineStr">
        <is>
          <t>A 6783-2022</t>
        </is>
      </c>
      <c r="B57" s="1" t="n">
        <v>44602</v>
      </c>
      <c r="C57" s="1" t="n">
        <v>46200</v>
      </c>
      <c r="D57" t="inlineStr">
        <is>
          <t>VÄSTRA GÖTALANDS LÄN</t>
        </is>
      </c>
      <c r="E57" t="inlineStr">
        <is>
          <t>FALKÖPING</t>
        </is>
      </c>
      <c r="G57" t="n">
        <v>0.3</v>
      </c>
      <c r="H57" t="n">
        <v>0</v>
      </c>
      <c r="I57" t="n">
        <v>0</v>
      </c>
      <c r="J57" t="n">
        <v>0</v>
      </c>
      <c r="K57" t="n">
        <v>0</v>
      </c>
      <c r="L57" t="n">
        <v>0</v>
      </c>
      <c r="M57" t="n">
        <v>0</v>
      </c>
      <c r="N57" t="n">
        <v>0</v>
      </c>
      <c r="O57" t="n">
        <v>0</v>
      </c>
      <c r="P57" t="n">
        <v>0</v>
      </c>
      <c r="Q57" t="n">
        <v>0</v>
      </c>
      <c r="R57" s="2" t="inlineStr"/>
    </row>
    <row r="58" ht="15" customHeight="1">
      <c r="A58" t="inlineStr">
        <is>
          <t>A 59113-2021</t>
        </is>
      </c>
      <c r="B58" s="1" t="n">
        <v>44490</v>
      </c>
      <c r="C58" s="1" t="n">
        <v>46200</v>
      </c>
      <c r="D58" t="inlineStr">
        <is>
          <t>VÄSTRA GÖTALANDS LÄN</t>
        </is>
      </c>
      <c r="E58" t="inlineStr">
        <is>
          <t>FALKÖPING</t>
        </is>
      </c>
      <c r="G58" t="n">
        <v>1.3</v>
      </c>
      <c r="H58" t="n">
        <v>0</v>
      </c>
      <c r="I58" t="n">
        <v>0</v>
      </c>
      <c r="J58" t="n">
        <v>0</v>
      </c>
      <c r="K58" t="n">
        <v>0</v>
      </c>
      <c r="L58" t="n">
        <v>0</v>
      </c>
      <c r="M58" t="n">
        <v>0</v>
      </c>
      <c r="N58" t="n">
        <v>0</v>
      </c>
      <c r="O58" t="n">
        <v>0</v>
      </c>
      <c r="P58" t="n">
        <v>0</v>
      </c>
      <c r="Q58" t="n">
        <v>0</v>
      </c>
      <c r="R58" s="2" t="inlineStr"/>
    </row>
    <row r="59" ht="15" customHeight="1">
      <c r="A59" t="inlineStr">
        <is>
          <t>A 40430-2022</t>
        </is>
      </c>
      <c r="B59" s="1" t="n">
        <v>44823</v>
      </c>
      <c r="C59" s="1" t="n">
        <v>46200</v>
      </c>
      <c r="D59" t="inlineStr">
        <is>
          <t>VÄSTRA GÖTALANDS LÄN</t>
        </is>
      </c>
      <c r="E59" t="inlineStr">
        <is>
          <t>FALKÖPING</t>
        </is>
      </c>
      <c r="G59" t="n">
        <v>0.8</v>
      </c>
      <c r="H59" t="n">
        <v>0</v>
      </c>
      <c r="I59" t="n">
        <v>0</v>
      </c>
      <c r="J59" t="n">
        <v>0</v>
      </c>
      <c r="K59" t="n">
        <v>0</v>
      </c>
      <c r="L59" t="n">
        <v>0</v>
      </c>
      <c r="M59" t="n">
        <v>0</v>
      </c>
      <c r="N59" t="n">
        <v>0</v>
      </c>
      <c r="O59" t="n">
        <v>0</v>
      </c>
      <c r="P59" t="n">
        <v>0</v>
      </c>
      <c r="Q59" t="n">
        <v>0</v>
      </c>
      <c r="R59" s="2" t="inlineStr"/>
    </row>
    <row r="60" ht="15" customHeight="1">
      <c r="A60" t="inlineStr">
        <is>
          <t>A 26544-2022</t>
        </is>
      </c>
      <c r="B60" s="1" t="n">
        <v>44739</v>
      </c>
      <c r="C60" s="1" t="n">
        <v>46200</v>
      </c>
      <c r="D60" t="inlineStr">
        <is>
          <t>VÄSTRA GÖTALANDS LÄN</t>
        </is>
      </c>
      <c r="E60" t="inlineStr">
        <is>
          <t>FALKÖPING</t>
        </is>
      </c>
      <c r="G60" t="n">
        <v>0.3</v>
      </c>
      <c r="H60" t="n">
        <v>0</v>
      </c>
      <c r="I60" t="n">
        <v>0</v>
      </c>
      <c r="J60" t="n">
        <v>0</v>
      </c>
      <c r="K60" t="n">
        <v>0</v>
      </c>
      <c r="L60" t="n">
        <v>0</v>
      </c>
      <c r="M60" t="n">
        <v>0</v>
      </c>
      <c r="N60" t="n">
        <v>0</v>
      </c>
      <c r="O60" t="n">
        <v>0</v>
      </c>
      <c r="P60" t="n">
        <v>0</v>
      </c>
      <c r="Q60" t="n">
        <v>0</v>
      </c>
      <c r="R60" s="2" t="inlineStr"/>
    </row>
    <row r="61" ht="15" customHeight="1">
      <c r="A61" t="inlineStr">
        <is>
          <t>A 43733-2021</t>
        </is>
      </c>
      <c r="B61" s="1" t="n">
        <v>44433</v>
      </c>
      <c r="C61" s="1" t="n">
        <v>46200</v>
      </c>
      <c r="D61" t="inlineStr">
        <is>
          <t>VÄSTRA GÖTALANDS LÄN</t>
        </is>
      </c>
      <c r="E61" t="inlineStr">
        <is>
          <t>FALKÖPING</t>
        </is>
      </c>
      <c r="G61" t="n">
        <v>2.2</v>
      </c>
      <c r="H61" t="n">
        <v>0</v>
      </c>
      <c r="I61" t="n">
        <v>0</v>
      </c>
      <c r="J61" t="n">
        <v>0</v>
      </c>
      <c r="K61" t="n">
        <v>0</v>
      </c>
      <c r="L61" t="n">
        <v>0</v>
      </c>
      <c r="M61" t="n">
        <v>0</v>
      </c>
      <c r="N61" t="n">
        <v>0</v>
      </c>
      <c r="O61" t="n">
        <v>0</v>
      </c>
      <c r="P61" t="n">
        <v>0</v>
      </c>
      <c r="Q61" t="n">
        <v>0</v>
      </c>
      <c r="R61" s="2" t="inlineStr"/>
    </row>
    <row r="62" ht="15" customHeight="1">
      <c r="A62" t="inlineStr">
        <is>
          <t>A 68875-2021</t>
        </is>
      </c>
      <c r="B62" s="1" t="n">
        <v>44530</v>
      </c>
      <c r="C62" s="1" t="n">
        <v>46200</v>
      </c>
      <c r="D62" t="inlineStr">
        <is>
          <t>VÄSTRA GÖTALANDS LÄN</t>
        </is>
      </c>
      <c r="E62" t="inlineStr">
        <is>
          <t>FALKÖPING</t>
        </is>
      </c>
      <c r="G62" t="n">
        <v>3.2</v>
      </c>
      <c r="H62" t="n">
        <v>0</v>
      </c>
      <c r="I62" t="n">
        <v>0</v>
      </c>
      <c r="J62" t="n">
        <v>0</v>
      </c>
      <c r="K62" t="n">
        <v>0</v>
      </c>
      <c r="L62" t="n">
        <v>0</v>
      </c>
      <c r="M62" t="n">
        <v>0</v>
      </c>
      <c r="N62" t="n">
        <v>0</v>
      </c>
      <c r="O62" t="n">
        <v>0</v>
      </c>
      <c r="P62" t="n">
        <v>0</v>
      </c>
      <c r="Q62" t="n">
        <v>0</v>
      </c>
      <c r="R62" s="2" t="inlineStr"/>
    </row>
    <row r="63" ht="15" customHeight="1">
      <c r="A63" t="inlineStr">
        <is>
          <t>A 35934-2022</t>
        </is>
      </c>
      <c r="B63" s="1" t="n">
        <v>44802</v>
      </c>
      <c r="C63" s="1" t="n">
        <v>46200</v>
      </c>
      <c r="D63" t="inlineStr">
        <is>
          <t>VÄSTRA GÖTALANDS LÄN</t>
        </is>
      </c>
      <c r="E63" t="inlineStr">
        <is>
          <t>FALKÖPING</t>
        </is>
      </c>
      <c r="G63" t="n">
        <v>1.8</v>
      </c>
      <c r="H63" t="n">
        <v>0</v>
      </c>
      <c r="I63" t="n">
        <v>0</v>
      </c>
      <c r="J63" t="n">
        <v>0</v>
      </c>
      <c r="K63" t="n">
        <v>0</v>
      </c>
      <c r="L63" t="n">
        <v>0</v>
      </c>
      <c r="M63" t="n">
        <v>0</v>
      </c>
      <c r="N63" t="n">
        <v>0</v>
      </c>
      <c r="O63" t="n">
        <v>0</v>
      </c>
      <c r="P63" t="n">
        <v>0</v>
      </c>
      <c r="Q63" t="n">
        <v>0</v>
      </c>
      <c r="R63" s="2" t="inlineStr"/>
    </row>
    <row r="64" ht="15" customHeight="1">
      <c r="A64" t="inlineStr">
        <is>
          <t>A 72297-2021</t>
        </is>
      </c>
      <c r="B64" s="1" t="n">
        <v>44545</v>
      </c>
      <c r="C64" s="1" t="n">
        <v>46200</v>
      </c>
      <c r="D64" t="inlineStr">
        <is>
          <t>VÄSTRA GÖTALANDS LÄN</t>
        </is>
      </c>
      <c r="E64" t="inlineStr">
        <is>
          <t>FALKÖPING</t>
        </is>
      </c>
      <c r="G64" t="n">
        <v>1.6</v>
      </c>
      <c r="H64" t="n">
        <v>0</v>
      </c>
      <c r="I64" t="n">
        <v>0</v>
      </c>
      <c r="J64" t="n">
        <v>0</v>
      </c>
      <c r="K64" t="n">
        <v>0</v>
      </c>
      <c r="L64" t="n">
        <v>0</v>
      </c>
      <c r="M64" t="n">
        <v>0</v>
      </c>
      <c r="N64" t="n">
        <v>0</v>
      </c>
      <c r="O64" t="n">
        <v>0</v>
      </c>
      <c r="P64" t="n">
        <v>0</v>
      </c>
      <c r="Q64" t="n">
        <v>0</v>
      </c>
      <c r="R64" s="2" t="inlineStr"/>
    </row>
    <row r="65" ht="15" customHeight="1">
      <c r="A65" t="inlineStr">
        <is>
          <t>A 5265-2022</t>
        </is>
      </c>
      <c r="B65" s="1" t="n">
        <v>44594</v>
      </c>
      <c r="C65" s="1" t="n">
        <v>46200</v>
      </c>
      <c r="D65" t="inlineStr">
        <is>
          <t>VÄSTRA GÖTALANDS LÄN</t>
        </is>
      </c>
      <c r="E65" t="inlineStr">
        <is>
          <t>FALKÖPING</t>
        </is>
      </c>
      <c r="G65" t="n">
        <v>0.6</v>
      </c>
      <c r="H65" t="n">
        <v>0</v>
      </c>
      <c r="I65" t="n">
        <v>0</v>
      </c>
      <c r="J65" t="n">
        <v>0</v>
      </c>
      <c r="K65" t="n">
        <v>0</v>
      </c>
      <c r="L65" t="n">
        <v>0</v>
      </c>
      <c r="M65" t="n">
        <v>0</v>
      </c>
      <c r="N65" t="n">
        <v>0</v>
      </c>
      <c r="O65" t="n">
        <v>0</v>
      </c>
      <c r="P65" t="n">
        <v>0</v>
      </c>
      <c r="Q65" t="n">
        <v>0</v>
      </c>
      <c r="R65" s="2" t="inlineStr"/>
    </row>
    <row r="66" ht="15" customHeight="1">
      <c r="A66" t="inlineStr">
        <is>
          <t>A 12103-2022</t>
        </is>
      </c>
      <c r="B66" s="1" t="n">
        <v>44636</v>
      </c>
      <c r="C66" s="1" t="n">
        <v>46200</v>
      </c>
      <c r="D66" t="inlineStr">
        <is>
          <t>VÄSTRA GÖTALANDS LÄN</t>
        </is>
      </c>
      <c r="E66" t="inlineStr">
        <is>
          <t>FALKÖPING</t>
        </is>
      </c>
      <c r="G66" t="n">
        <v>8.6</v>
      </c>
      <c r="H66" t="n">
        <v>0</v>
      </c>
      <c r="I66" t="n">
        <v>0</v>
      </c>
      <c r="J66" t="n">
        <v>0</v>
      </c>
      <c r="K66" t="n">
        <v>0</v>
      </c>
      <c r="L66" t="n">
        <v>0</v>
      </c>
      <c r="M66" t="n">
        <v>0</v>
      </c>
      <c r="N66" t="n">
        <v>0</v>
      </c>
      <c r="O66" t="n">
        <v>0</v>
      </c>
      <c r="P66" t="n">
        <v>0</v>
      </c>
      <c r="Q66" t="n">
        <v>0</v>
      </c>
      <c r="R66" s="2" t="inlineStr"/>
    </row>
    <row r="67" ht="15" customHeight="1">
      <c r="A67" t="inlineStr">
        <is>
          <t>A 12124-2022</t>
        </is>
      </c>
      <c r="B67" s="1" t="n">
        <v>44636</v>
      </c>
      <c r="C67" s="1" t="n">
        <v>46200</v>
      </c>
      <c r="D67" t="inlineStr">
        <is>
          <t>VÄSTRA GÖTALANDS LÄN</t>
        </is>
      </c>
      <c r="E67" t="inlineStr">
        <is>
          <t>FALKÖPING</t>
        </is>
      </c>
      <c r="G67" t="n">
        <v>2.4</v>
      </c>
      <c r="H67" t="n">
        <v>0</v>
      </c>
      <c r="I67" t="n">
        <v>0</v>
      </c>
      <c r="J67" t="n">
        <v>0</v>
      </c>
      <c r="K67" t="n">
        <v>0</v>
      </c>
      <c r="L67" t="n">
        <v>0</v>
      </c>
      <c r="M67" t="n">
        <v>0</v>
      </c>
      <c r="N67" t="n">
        <v>0</v>
      </c>
      <c r="O67" t="n">
        <v>0</v>
      </c>
      <c r="P67" t="n">
        <v>0</v>
      </c>
      <c r="Q67" t="n">
        <v>0</v>
      </c>
      <c r="R67" s="2" t="inlineStr"/>
    </row>
    <row r="68" ht="15" customHeight="1">
      <c r="A68" t="inlineStr">
        <is>
          <t>A 60914-2021</t>
        </is>
      </c>
      <c r="B68" s="1" t="n">
        <v>44497</v>
      </c>
      <c r="C68" s="1" t="n">
        <v>46200</v>
      </c>
      <c r="D68" t="inlineStr">
        <is>
          <t>VÄSTRA GÖTALANDS LÄN</t>
        </is>
      </c>
      <c r="E68" t="inlineStr">
        <is>
          <t>FALKÖPING</t>
        </is>
      </c>
      <c r="G68" t="n">
        <v>3.8</v>
      </c>
      <c r="H68" t="n">
        <v>0</v>
      </c>
      <c r="I68" t="n">
        <v>0</v>
      </c>
      <c r="J68" t="n">
        <v>0</v>
      </c>
      <c r="K68" t="n">
        <v>0</v>
      </c>
      <c r="L68" t="n">
        <v>0</v>
      </c>
      <c r="M68" t="n">
        <v>0</v>
      </c>
      <c r="N68" t="n">
        <v>0</v>
      </c>
      <c r="O68" t="n">
        <v>0</v>
      </c>
      <c r="P68" t="n">
        <v>0</v>
      </c>
      <c r="Q68" t="n">
        <v>0</v>
      </c>
      <c r="R68" s="2" t="inlineStr"/>
    </row>
    <row r="69" ht="15" customHeight="1">
      <c r="A69" t="inlineStr">
        <is>
          <t>A 62365-2021</t>
        </is>
      </c>
      <c r="B69" s="1" t="n">
        <v>44503</v>
      </c>
      <c r="C69" s="1" t="n">
        <v>46200</v>
      </c>
      <c r="D69" t="inlineStr">
        <is>
          <t>VÄSTRA GÖTALANDS LÄN</t>
        </is>
      </c>
      <c r="E69" t="inlineStr">
        <is>
          <t>FALKÖPING</t>
        </is>
      </c>
      <c r="G69" t="n">
        <v>1.2</v>
      </c>
      <c r="H69" t="n">
        <v>0</v>
      </c>
      <c r="I69" t="n">
        <v>0</v>
      </c>
      <c r="J69" t="n">
        <v>0</v>
      </c>
      <c r="K69" t="n">
        <v>0</v>
      </c>
      <c r="L69" t="n">
        <v>0</v>
      </c>
      <c r="M69" t="n">
        <v>0</v>
      </c>
      <c r="N69" t="n">
        <v>0</v>
      </c>
      <c r="O69" t="n">
        <v>0</v>
      </c>
      <c r="P69" t="n">
        <v>0</v>
      </c>
      <c r="Q69" t="n">
        <v>0</v>
      </c>
      <c r="R69" s="2" t="inlineStr"/>
    </row>
    <row r="70" ht="15" customHeight="1">
      <c r="A70" t="inlineStr">
        <is>
          <t>A 2294-2022</t>
        </is>
      </c>
      <c r="B70" s="1" t="n">
        <v>44578</v>
      </c>
      <c r="C70" s="1" t="n">
        <v>46200</v>
      </c>
      <c r="D70" t="inlineStr">
        <is>
          <t>VÄSTRA GÖTALANDS LÄN</t>
        </is>
      </c>
      <c r="E70" t="inlineStr">
        <is>
          <t>FALKÖPING</t>
        </is>
      </c>
      <c r="G70" t="n">
        <v>1</v>
      </c>
      <c r="H70" t="n">
        <v>0</v>
      </c>
      <c r="I70" t="n">
        <v>0</v>
      </c>
      <c r="J70" t="n">
        <v>0</v>
      </c>
      <c r="K70" t="n">
        <v>0</v>
      </c>
      <c r="L70" t="n">
        <v>0</v>
      </c>
      <c r="M70" t="n">
        <v>0</v>
      </c>
      <c r="N70" t="n">
        <v>0</v>
      </c>
      <c r="O70" t="n">
        <v>0</v>
      </c>
      <c r="P70" t="n">
        <v>0</v>
      </c>
      <c r="Q70" t="n">
        <v>0</v>
      </c>
      <c r="R70" s="2" t="inlineStr"/>
    </row>
    <row r="71" ht="15" customHeight="1">
      <c r="A71" t="inlineStr">
        <is>
          <t>A 68699-2021</t>
        </is>
      </c>
      <c r="B71" s="1" t="n">
        <v>44529</v>
      </c>
      <c r="C71" s="1" t="n">
        <v>46200</v>
      </c>
      <c r="D71" t="inlineStr">
        <is>
          <t>VÄSTRA GÖTALANDS LÄN</t>
        </is>
      </c>
      <c r="E71" t="inlineStr">
        <is>
          <t>FALKÖPING</t>
        </is>
      </c>
      <c r="G71" t="n">
        <v>0.7</v>
      </c>
      <c r="H71" t="n">
        <v>0</v>
      </c>
      <c r="I71" t="n">
        <v>0</v>
      </c>
      <c r="J71" t="n">
        <v>0</v>
      </c>
      <c r="K71" t="n">
        <v>0</v>
      </c>
      <c r="L71" t="n">
        <v>0</v>
      </c>
      <c r="M71" t="n">
        <v>0</v>
      </c>
      <c r="N71" t="n">
        <v>0</v>
      </c>
      <c r="O71" t="n">
        <v>0</v>
      </c>
      <c r="P71" t="n">
        <v>0</v>
      </c>
      <c r="Q71" t="n">
        <v>0</v>
      </c>
      <c r="R71" s="2" t="inlineStr"/>
    </row>
    <row r="72" ht="15" customHeight="1">
      <c r="A72" t="inlineStr">
        <is>
          <t>A 25043-2022</t>
        </is>
      </c>
      <c r="B72" s="1" t="n">
        <v>44729</v>
      </c>
      <c r="C72" s="1" t="n">
        <v>46200</v>
      </c>
      <c r="D72" t="inlineStr">
        <is>
          <t>VÄSTRA GÖTALANDS LÄN</t>
        </is>
      </c>
      <c r="E72" t="inlineStr">
        <is>
          <t>FALKÖPING</t>
        </is>
      </c>
      <c r="G72" t="n">
        <v>0.5</v>
      </c>
      <c r="H72" t="n">
        <v>0</v>
      </c>
      <c r="I72" t="n">
        <v>0</v>
      </c>
      <c r="J72" t="n">
        <v>0</v>
      </c>
      <c r="K72" t="n">
        <v>0</v>
      </c>
      <c r="L72" t="n">
        <v>0</v>
      </c>
      <c r="M72" t="n">
        <v>0</v>
      </c>
      <c r="N72" t="n">
        <v>0</v>
      </c>
      <c r="O72" t="n">
        <v>0</v>
      </c>
      <c r="P72" t="n">
        <v>0</v>
      </c>
      <c r="Q72" t="n">
        <v>0</v>
      </c>
      <c r="R72" s="2" t="inlineStr"/>
    </row>
    <row r="73" ht="15" customHeight="1">
      <c r="A73" t="inlineStr">
        <is>
          <t>A 24749-2022</t>
        </is>
      </c>
      <c r="B73" s="1" t="n">
        <v>44728</v>
      </c>
      <c r="C73" s="1" t="n">
        <v>46200</v>
      </c>
      <c r="D73" t="inlineStr">
        <is>
          <t>VÄSTRA GÖTALANDS LÄN</t>
        </is>
      </c>
      <c r="E73" t="inlineStr">
        <is>
          <t>FALKÖPING</t>
        </is>
      </c>
      <c r="G73" t="n">
        <v>3.9</v>
      </c>
      <c r="H73" t="n">
        <v>0</v>
      </c>
      <c r="I73" t="n">
        <v>0</v>
      </c>
      <c r="J73" t="n">
        <v>0</v>
      </c>
      <c r="K73" t="n">
        <v>0</v>
      </c>
      <c r="L73" t="n">
        <v>0</v>
      </c>
      <c r="M73" t="n">
        <v>0</v>
      </c>
      <c r="N73" t="n">
        <v>0</v>
      </c>
      <c r="O73" t="n">
        <v>0</v>
      </c>
      <c r="P73" t="n">
        <v>0</v>
      </c>
      <c r="Q73" t="n">
        <v>0</v>
      </c>
      <c r="R73" s="2" t="inlineStr"/>
    </row>
    <row r="74" ht="15" customHeight="1">
      <c r="A74" t="inlineStr">
        <is>
          <t>A 42919-2021</t>
        </is>
      </c>
      <c r="B74" s="1" t="n">
        <v>44429</v>
      </c>
      <c r="C74" s="1" t="n">
        <v>46200</v>
      </c>
      <c r="D74" t="inlineStr">
        <is>
          <t>VÄSTRA GÖTALANDS LÄN</t>
        </is>
      </c>
      <c r="E74" t="inlineStr">
        <is>
          <t>FALKÖPING</t>
        </is>
      </c>
      <c r="G74" t="n">
        <v>3.5</v>
      </c>
      <c r="H74" t="n">
        <v>0</v>
      </c>
      <c r="I74" t="n">
        <v>0</v>
      </c>
      <c r="J74" t="n">
        <v>0</v>
      </c>
      <c r="K74" t="n">
        <v>0</v>
      </c>
      <c r="L74" t="n">
        <v>0</v>
      </c>
      <c r="M74" t="n">
        <v>0</v>
      </c>
      <c r="N74" t="n">
        <v>0</v>
      </c>
      <c r="O74" t="n">
        <v>0</v>
      </c>
      <c r="P74" t="n">
        <v>0</v>
      </c>
      <c r="Q74" t="n">
        <v>0</v>
      </c>
      <c r="R74" s="2" t="inlineStr"/>
    </row>
    <row r="75" ht="15" customHeight="1">
      <c r="A75" t="inlineStr">
        <is>
          <t>A 42923-2021</t>
        </is>
      </c>
      <c r="B75" s="1" t="n">
        <v>44429</v>
      </c>
      <c r="C75" s="1" t="n">
        <v>46200</v>
      </c>
      <c r="D75" t="inlineStr">
        <is>
          <t>VÄSTRA GÖTALANDS LÄN</t>
        </is>
      </c>
      <c r="E75" t="inlineStr">
        <is>
          <t>FALKÖPING</t>
        </is>
      </c>
      <c r="G75" t="n">
        <v>1.1</v>
      </c>
      <c r="H75" t="n">
        <v>0</v>
      </c>
      <c r="I75" t="n">
        <v>0</v>
      </c>
      <c r="J75" t="n">
        <v>0</v>
      </c>
      <c r="K75" t="n">
        <v>0</v>
      </c>
      <c r="L75" t="n">
        <v>0</v>
      </c>
      <c r="M75" t="n">
        <v>0</v>
      </c>
      <c r="N75" t="n">
        <v>0</v>
      </c>
      <c r="O75" t="n">
        <v>0</v>
      </c>
      <c r="P75" t="n">
        <v>0</v>
      </c>
      <c r="Q75" t="n">
        <v>0</v>
      </c>
      <c r="R75" s="2" t="inlineStr"/>
    </row>
    <row r="76" ht="15" customHeight="1">
      <c r="A76" t="inlineStr">
        <is>
          <t>A 22023-2022</t>
        </is>
      </c>
      <c r="B76" s="1" t="n">
        <v>44711</v>
      </c>
      <c r="C76" s="1" t="n">
        <v>46200</v>
      </c>
      <c r="D76" t="inlineStr">
        <is>
          <t>VÄSTRA GÖTALANDS LÄN</t>
        </is>
      </c>
      <c r="E76" t="inlineStr">
        <is>
          <t>FALKÖPING</t>
        </is>
      </c>
      <c r="G76" t="n">
        <v>2.8</v>
      </c>
      <c r="H76" t="n">
        <v>0</v>
      </c>
      <c r="I76" t="n">
        <v>0</v>
      </c>
      <c r="J76" t="n">
        <v>0</v>
      </c>
      <c r="K76" t="n">
        <v>0</v>
      </c>
      <c r="L76" t="n">
        <v>0</v>
      </c>
      <c r="M76" t="n">
        <v>0</v>
      </c>
      <c r="N76" t="n">
        <v>0</v>
      </c>
      <c r="O76" t="n">
        <v>0</v>
      </c>
      <c r="P76" t="n">
        <v>0</v>
      </c>
      <c r="Q76" t="n">
        <v>0</v>
      </c>
      <c r="R76" s="2" t="inlineStr"/>
    </row>
    <row r="77" ht="15" customHeight="1">
      <c r="A77" t="inlineStr">
        <is>
          <t>A 55513-2021</t>
        </is>
      </c>
      <c r="B77" s="1" t="n">
        <v>44475</v>
      </c>
      <c r="C77" s="1" t="n">
        <v>46200</v>
      </c>
      <c r="D77" t="inlineStr">
        <is>
          <t>VÄSTRA GÖTALANDS LÄN</t>
        </is>
      </c>
      <c r="E77" t="inlineStr">
        <is>
          <t>FALKÖPING</t>
        </is>
      </c>
      <c r="G77" t="n">
        <v>1.1</v>
      </c>
      <c r="H77" t="n">
        <v>0</v>
      </c>
      <c r="I77" t="n">
        <v>0</v>
      </c>
      <c r="J77" t="n">
        <v>0</v>
      </c>
      <c r="K77" t="n">
        <v>0</v>
      </c>
      <c r="L77" t="n">
        <v>0</v>
      </c>
      <c r="M77" t="n">
        <v>0</v>
      </c>
      <c r="N77" t="n">
        <v>0</v>
      </c>
      <c r="O77" t="n">
        <v>0</v>
      </c>
      <c r="P77" t="n">
        <v>0</v>
      </c>
      <c r="Q77" t="n">
        <v>0</v>
      </c>
      <c r="R77" s="2" t="inlineStr"/>
    </row>
    <row r="78" ht="15" customHeight="1">
      <c r="A78" t="inlineStr">
        <is>
          <t>A 62372-2021</t>
        </is>
      </c>
      <c r="B78" s="1" t="n">
        <v>44503</v>
      </c>
      <c r="C78" s="1" t="n">
        <v>46200</v>
      </c>
      <c r="D78" t="inlineStr">
        <is>
          <t>VÄSTRA GÖTALANDS LÄN</t>
        </is>
      </c>
      <c r="E78" t="inlineStr">
        <is>
          <t>FALKÖPING</t>
        </is>
      </c>
      <c r="F78" t="inlineStr">
        <is>
          <t>Naturvårdsverket</t>
        </is>
      </c>
      <c r="G78" t="n">
        <v>1.4</v>
      </c>
      <c r="H78" t="n">
        <v>0</v>
      </c>
      <c r="I78" t="n">
        <v>0</v>
      </c>
      <c r="J78" t="n">
        <v>0</v>
      </c>
      <c r="K78" t="n">
        <v>0</v>
      </c>
      <c r="L78" t="n">
        <v>0</v>
      </c>
      <c r="M78" t="n">
        <v>0</v>
      </c>
      <c r="N78" t="n">
        <v>0</v>
      </c>
      <c r="O78" t="n">
        <v>0</v>
      </c>
      <c r="P78" t="n">
        <v>0</v>
      </c>
      <c r="Q78" t="n">
        <v>0</v>
      </c>
      <c r="R78" s="2" t="inlineStr"/>
    </row>
    <row r="79" ht="15" customHeight="1">
      <c r="A79" t="inlineStr">
        <is>
          <t>A 55071-2021</t>
        </is>
      </c>
      <c r="B79" s="1" t="n">
        <v>44474</v>
      </c>
      <c r="C79" s="1" t="n">
        <v>46200</v>
      </c>
      <c r="D79" t="inlineStr">
        <is>
          <t>VÄSTRA GÖTALANDS LÄN</t>
        </is>
      </c>
      <c r="E79" t="inlineStr">
        <is>
          <t>FALKÖPING</t>
        </is>
      </c>
      <c r="G79" t="n">
        <v>4</v>
      </c>
      <c r="H79" t="n">
        <v>0</v>
      </c>
      <c r="I79" t="n">
        <v>0</v>
      </c>
      <c r="J79" t="n">
        <v>0</v>
      </c>
      <c r="K79" t="n">
        <v>0</v>
      </c>
      <c r="L79" t="n">
        <v>0</v>
      </c>
      <c r="M79" t="n">
        <v>0</v>
      </c>
      <c r="N79" t="n">
        <v>0</v>
      </c>
      <c r="O79" t="n">
        <v>0</v>
      </c>
      <c r="P79" t="n">
        <v>0</v>
      </c>
      <c r="Q79" t="n">
        <v>0</v>
      </c>
      <c r="R79" s="2" t="inlineStr"/>
    </row>
    <row r="80" ht="15" customHeight="1">
      <c r="A80" t="inlineStr">
        <is>
          <t>A 10415-2022</t>
        </is>
      </c>
      <c r="B80" s="1" t="n">
        <v>44623</v>
      </c>
      <c r="C80" s="1" t="n">
        <v>46200</v>
      </c>
      <c r="D80" t="inlineStr">
        <is>
          <t>VÄSTRA GÖTALANDS LÄN</t>
        </is>
      </c>
      <c r="E80" t="inlineStr">
        <is>
          <t>FALKÖPING</t>
        </is>
      </c>
      <c r="G80" t="n">
        <v>3.6</v>
      </c>
      <c r="H80" t="n">
        <v>0</v>
      </c>
      <c r="I80" t="n">
        <v>0</v>
      </c>
      <c r="J80" t="n">
        <v>0</v>
      </c>
      <c r="K80" t="n">
        <v>0</v>
      </c>
      <c r="L80" t="n">
        <v>0</v>
      </c>
      <c r="M80" t="n">
        <v>0</v>
      </c>
      <c r="N80" t="n">
        <v>0</v>
      </c>
      <c r="O80" t="n">
        <v>0</v>
      </c>
      <c r="P80" t="n">
        <v>0</v>
      </c>
      <c r="Q80" t="n">
        <v>0</v>
      </c>
      <c r="R80" s="2" t="inlineStr"/>
    </row>
    <row r="81" ht="15" customHeight="1">
      <c r="A81" t="inlineStr">
        <is>
          <t>A 40735-2022</t>
        </is>
      </c>
      <c r="B81" s="1" t="n">
        <v>44824</v>
      </c>
      <c r="C81" s="1" t="n">
        <v>46200</v>
      </c>
      <c r="D81" t="inlineStr">
        <is>
          <t>VÄSTRA GÖTALANDS LÄN</t>
        </is>
      </c>
      <c r="E81" t="inlineStr">
        <is>
          <t>FALKÖPING</t>
        </is>
      </c>
      <c r="G81" t="n">
        <v>2.4</v>
      </c>
      <c r="H81" t="n">
        <v>0</v>
      </c>
      <c r="I81" t="n">
        <v>0</v>
      </c>
      <c r="J81" t="n">
        <v>0</v>
      </c>
      <c r="K81" t="n">
        <v>0</v>
      </c>
      <c r="L81" t="n">
        <v>0</v>
      </c>
      <c r="M81" t="n">
        <v>0</v>
      </c>
      <c r="N81" t="n">
        <v>0</v>
      </c>
      <c r="O81" t="n">
        <v>0</v>
      </c>
      <c r="P81" t="n">
        <v>0</v>
      </c>
      <c r="Q81" t="n">
        <v>0</v>
      </c>
      <c r="R81" s="2" t="inlineStr"/>
    </row>
    <row r="82" ht="15" customHeight="1">
      <c r="A82" t="inlineStr">
        <is>
          <t>A 21730-2022</t>
        </is>
      </c>
      <c r="B82" s="1" t="n">
        <v>44707</v>
      </c>
      <c r="C82" s="1" t="n">
        <v>46200</v>
      </c>
      <c r="D82" t="inlineStr">
        <is>
          <t>VÄSTRA GÖTALANDS LÄN</t>
        </is>
      </c>
      <c r="E82" t="inlineStr">
        <is>
          <t>FALKÖPING</t>
        </is>
      </c>
      <c r="G82" t="n">
        <v>0.9</v>
      </c>
      <c r="H82" t="n">
        <v>0</v>
      </c>
      <c r="I82" t="n">
        <v>0</v>
      </c>
      <c r="J82" t="n">
        <v>0</v>
      </c>
      <c r="K82" t="n">
        <v>0</v>
      </c>
      <c r="L82" t="n">
        <v>0</v>
      </c>
      <c r="M82" t="n">
        <v>0</v>
      </c>
      <c r="N82" t="n">
        <v>0</v>
      </c>
      <c r="O82" t="n">
        <v>0</v>
      </c>
      <c r="P82" t="n">
        <v>0</v>
      </c>
      <c r="Q82" t="n">
        <v>0</v>
      </c>
      <c r="R82" s="2" t="inlineStr"/>
    </row>
    <row r="83" ht="15" customHeight="1">
      <c r="A83" t="inlineStr">
        <is>
          <t>A 10171-2022</t>
        </is>
      </c>
      <c r="B83" s="1" t="n">
        <v>44622</v>
      </c>
      <c r="C83" s="1" t="n">
        <v>46200</v>
      </c>
      <c r="D83" t="inlineStr">
        <is>
          <t>VÄSTRA GÖTALANDS LÄN</t>
        </is>
      </c>
      <c r="E83" t="inlineStr">
        <is>
          <t>FALKÖPING</t>
        </is>
      </c>
      <c r="G83" t="n">
        <v>0.5</v>
      </c>
      <c r="H83" t="n">
        <v>0</v>
      </c>
      <c r="I83" t="n">
        <v>0</v>
      </c>
      <c r="J83" t="n">
        <v>0</v>
      </c>
      <c r="K83" t="n">
        <v>0</v>
      </c>
      <c r="L83" t="n">
        <v>0</v>
      </c>
      <c r="M83" t="n">
        <v>0</v>
      </c>
      <c r="N83" t="n">
        <v>0</v>
      </c>
      <c r="O83" t="n">
        <v>0</v>
      </c>
      <c r="P83" t="n">
        <v>0</v>
      </c>
      <c r="Q83" t="n">
        <v>0</v>
      </c>
      <c r="R83" s="2" t="inlineStr"/>
    </row>
    <row r="84" ht="15" customHeight="1">
      <c r="A84" t="inlineStr">
        <is>
          <t>A 55013-2023</t>
        </is>
      </c>
      <c r="B84" s="1" t="n">
        <v>45237</v>
      </c>
      <c r="C84" s="1" t="n">
        <v>46200</v>
      </c>
      <c r="D84" t="inlineStr">
        <is>
          <t>VÄSTRA GÖTALANDS LÄN</t>
        </is>
      </c>
      <c r="E84" t="inlineStr">
        <is>
          <t>FALKÖPING</t>
        </is>
      </c>
      <c r="G84" t="n">
        <v>3.4</v>
      </c>
      <c r="H84" t="n">
        <v>0</v>
      </c>
      <c r="I84" t="n">
        <v>0</v>
      </c>
      <c r="J84" t="n">
        <v>0</v>
      </c>
      <c r="K84" t="n">
        <v>0</v>
      </c>
      <c r="L84" t="n">
        <v>0</v>
      </c>
      <c r="M84" t="n">
        <v>0</v>
      </c>
      <c r="N84" t="n">
        <v>0</v>
      </c>
      <c r="O84" t="n">
        <v>0</v>
      </c>
      <c r="P84" t="n">
        <v>0</v>
      </c>
      <c r="Q84" t="n">
        <v>0</v>
      </c>
      <c r="R84" s="2" t="inlineStr"/>
    </row>
    <row r="85" ht="15" customHeight="1">
      <c r="A85" t="inlineStr">
        <is>
          <t>A 17445-2025</t>
        </is>
      </c>
      <c r="B85" s="1" t="n">
        <v>45757</v>
      </c>
      <c r="C85" s="1" t="n">
        <v>46200</v>
      </c>
      <c r="D85" t="inlineStr">
        <is>
          <t>VÄSTRA GÖTALANDS LÄN</t>
        </is>
      </c>
      <c r="E85" t="inlineStr">
        <is>
          <t>FALKÖPING</t>
        </is>
      </c>
      <c r="G85" t="n">
        <v>2</v>
      </c>
      <c r="H85" t="n">
        <v>0</v>
      </c>
      <c r="I85" t="n">
        <v>0</v>
      </c>
      <c r="J85" t="n">
        <v>0</v>
      </c>
      <c r="K85" t="n">
        <v>0</v>
      </c>
      <c r="L85" t="n">
        <v>0</v>
      </c>
      <c r="M85" t="n">
        <v>0</v>
      </c>
      <c r="N85" t="n">
        <v>0</v>
      </c>
      <c r="O85" t="n">
        <v>0</v>
      </c>
      <c r="P85" t="n">
        <v>0</v>
      </c>
      <c r="Q85" t="n">
        <v>0</v>
      </c>
      <c r="R85" s="2" t="inlineStr"/>
    </row>
    <row r="86" ht="15" customHeight="1">
      <c r="A86" t="inlineStr">
        <is>
          <t>A 68656-2021</t>
        </is>
      </c>
      <c r="B86" s="1" t="n">
        <v>44529</v>
      </c>
      <c r="C86" s="1" t="n">
        <v>46200</v>
      </c>
      <c r="D86" t="inlineStr">
        <is>
          <t>VÄSTRA GÖTALANDS LÄN</t>
        </is>
      </c>
      <c r="E86" t="inlineStr">
        <is>
          <t>FALKÖPING</t>
        </is>
      </c>
      <c r="G86" t="n">
        <v>3.2</v>
      </c>
      <c r="H86" t="n">
        <v>0</v>
      </c>
      <c r="I86" t="n">
        <v>0</v>
      </c>
      <c r="J86" t="n">
        <v>0</v>
      </c>
      <c r="K86" t="n">
        <v>0</v>
      </c>
      <c r="L86" t="n">
        <v>0</v>
      </c>
      <c r="M86" t="n">
        <v>0</v>
      </c>
      <c r="N86" t="n">
        <v>0</v>
      </c>
      <c r="O86" t="n">
        <v>0</v>
      </c>
      <c r="P86" t="n">
        <v>0</v>
      </c>
      <c r="Q86" t="n">
        <v>0</v>
      </c>
      <c r="R86" s="2" t="inlineStr"/>
    </row>
    <row r="87" ht="15" customHeight="1">
      <c r="A87" t="inlineStr">
        <is>
          <t>A 68658-2021</t>
        </is>
      </c>
      <c r="B87" s="1" t="n">
        <v>44529</v>
      </c>
      <c r="C87" s="1" t="n">
        <v>46200</v>
      </c>
      <c r="D87" t="inlineStr">
        <is>
          <t>VÄSTRA GÖTALANDS LÄN</t>
        </is>
      </c>
      <c r="E87" t="inlineStr">
        <is>
          <t>FALKÖPING</t>
        </is>
      </c>
      <c r="G87" t="n">
        <v>3.1</v>
      </c>
      <c r="H87" t="n">
        <v>0</v>
      </c>
      <c r="I87" t="n">
        <v>0</v>
      </c>
      <c r="J87" t="n">
        <v>0</v>
      </c>
      <c r="K87" t="n">
        <v>0</v>
      </c>
      <c r="L87" t="n">
        <v>0</v>
      </c>
      <c r="M87" t="n">
        <v>0</v>
      </c>
      <c r="N87" t="n">
        <v>0</v>
      </c>
      <c r="O87" t="n">
        <v>0</v>
      </c>
      <c r="P87" t="n">
        <v>0</v>
      </c>
      <c r="Q87" t="n">
        <v>0</v>
      </c>
      <c r="R87" s="2" t="inlineStr"/>
    </row>
    <row r="88" ht="15" customHeight="1">
      <c r="A88" t="inlineStr">
        <is>
          <t>A 40588-2022</t>
        </is>
      </c>
      <c r="B88" s="1" t="n">
        <v>44823</v>
      </c>
      <c r="C88" s="1" t="n">
        <v>46200</v>
      </c>
      <c r="D88" t="inlineStr">
        <is>
          <t>VÄSTRA GÖTALANDS LÄN</t>
        </is>
      </c>
      <c r="E88" t="inlineStr">
        <is>
          <t>FALKÖPING</t>
        </is>
      </c>
      <c r="G88" t="n">
        <v>1.8</v>
      </c>
      <c r="H88" t="n">
        <v>0</v>
      </c>
      <c r="I88" t="n">
        <v>0</v>
      </c>
      <c r="J88" t="n">
        <v>0</v>
      </c>
      <c r="K88" t="n">
        <v>0</v>
      </c>
      <c r="L88" t="n">
        <v>0</v>
      </c>
      <c r="M88" t="n">
        <v>0</v>
      </c>
      <c r="N88" t="n">
        <v>0</v>
      </c>
      <c r="O88" t="n">
        <v>0</v>
      </c>
      <c r="P88" t="n">
        <v>0</v>
      </c>
      <c r="Q88" t="n">
        <v>0</v>
      </c>
      <c r="R88" s="2" t="inlineStr"/>
    </row>
    <row r="89" ht="15" customHeight="1">
      <c r="A89" t="inlineStr">
        <is>
          <t>A 40589-2022</t>
        </is>
      </c>
      <c r="B89" s="1" t="n">
        <v>44823</v>
      </c>
      <c r="C89" s="1" t="n">
        <v>46200</v>
      </c>
      <c r="D89" t="inlineStr">
        <is>
          <t>VÄSTRA GÖTALANDS LÄN</t>
        </is>
      </c>
      <c r="E89" t="inlineStr">
        <is>
          <t>FALKÖPING</t>
        </is>
      </c>
      <c r="G89" t="n">
        <v>1.8</v>
      </c>
      <c r="H89" t="n">
        <v>0</v>
      </c>
      <c r="I89" t="n">
        <v>0</v>
      </c>
      <c r="J89" t="n">
        <v>0</v>
      </c>
      <c r="K89" t="n">
        <v>0</v>
      </c>
      <c r="L89" t="n">
        <v>0</v>
      </c>
      <c r="M89" t="n">
        <v>0</v>
      </c>
      <c r="N89" t="n">
        <v>0</v>
      </c>
      <c r="O89" t="n">
        <v>0</v>
      </c>
      <c r="P89" t="n">
        <v>0</v>
      </c>
      <c r="Q89" t="n">
        <v>0</v>
      </c>
      <c r="R89" s="2" t="inlineStr"/>
    </row>
    <row r="90" ht="15" customHeight="1">
      <c r="A90" t="inlineStr">
        <is>
          <t>A 17629-2023</t>
        </is>
      </c>
      <c r="B90" s="1" t="n">
        <v>45036</v>
      </c>
      <c r="C90" s="1" t="n">
        <v>46200</v>
      </c>
      <c r="D90" t="inlineStr">
        <is>
          <t>VÄSTRA GÖTALANDS LÄN</t>
        </is>
      </c>
      <c r="E90" t="inlineStr">
        <is>
          <t>FALKÖPING</t>
        </is>
      </c>
      <c r="G90" t="n">
        <v>0.9</v>
      </c>
      <c r="H90" t="n">
        <v>0</v>
      </c>
      <c r="I90" t="n">
        <v>0</v>
      </c>
      <c r="J90" t="n">
        <v>0</v>
      </c>
      <c r="K90" t="n">
        <v>0</v>
      </c>
      <c r="L90" t="n">
        <v>0</v>
      </c>
      <c r="M90" t="n">
        <v>0</v>
      </c>
      <c r="N90" t="n">
        <v>0</v>
      </c>
      <c r="O90" t="n">
        <v>0</v>
      </c>
      <c r="P90" t="n">
        <v>0</v>
      </c>
      <c r="Q90" t="n">
        <v>0</v>
      </c>
      <c r="R90" s="2" t="inlineStr"/>
    </row>
    <row r="91" ht="15" customHeight="1">
      <c r="A91" t="inlineStr">
        <is>
          <t>A 40173-2021</t>
        </is>
      </c>
      <c r="B91" s="1" t="n">
        <v>44418</v>
      </c>
      <c r="C91" s="1" t="n">
        <v>46200</v>
      </c>
      <c r="D91" t="inlineStr">
        <is>
          <t>VÄSTRA GÖTALANDS LÄN</t>
        </is>
      </c>
      <c r="E91" t="inlineStr">
        <is>
          <t>FALKÖPING</t>
        </is>
      </c>
      <c r="G91" t="n">
        <v>1.2</v>
      </c>
      <c r="H91" t="n">
        <v>0</v>
      </c>
      <c r="I91" t="n">
        <v>0</v>
      </c>
      <c r="J91" t="n">
        <v>0</v>
      </c>
      <c r="K91" t="n">
        <v>0</v>
      </c>
      <c r="L91" t="n">
        <v>0</v>
      </c>
      <c r="M91" t="n">
        <v>0</v>
      </c>
      <c r="N91" t="n">
        <v>0</v>
      </c>
      <c r="O91" t="n">
        <v>0</v>
      </c>
      <c r="P91" t="n">
        <v>0</v>
      </c>
      <c r="Q91" t="n">
        <v>0</v>
      </c>
      <c r="R91" s="2" t="inlineStr"/>
    </row>
    <row r="92" ht="15" customHeight="1">
      <c r="A92" t="inlineStr">
        <is>
          <t>A 4396-2023</t>
        </is>
      </c>
      <c r="B92" s="1" t="n">
        <v>44956</v>
      </c>
      <c r="C92" s="1" t="n">
        <v>46200</v>
      </c>
      <c r="D92" t="inlineStr">
        <is>
          <t>VÄSTRA GÖTALANDS LÄN</t>
        </is>
      </c>
      <c r="E92" t="inlineStr">
        <is>
          <t>FALKÖPING</t>
        </is>
      </c>
      <c r="G92" t="n">
        <v>3.2</v>
      </c>
      <c r="H92" t="n">
        <v>0</v>
      </c>
      <c r="I92" t="n">
        <v>0</v>
      </c>
      <c r="J92" t="n">
        <v>0</v>
      </c>
      <c r="K92" t="n">
        <v>0</v>
      </c>
      <c r="L92" t="n">
        <v>0</v>
      </c>
      <c r="M92" t="n">
        <v>0</v>
      </c>
      <c r="N92" t="n">
        <v>0</v>
      </c>
      <c r="O92" t="n">
        <v>0</v>
      </c>
      <c r="P92" t="n">
        <v>0</v>
      </c>
      <c r="Q92" t="n">
        <v>0</v>
      </c>
      <c r="R92" s="2" t="inlineStr"/>
    </row>
    <row r="93" ht="15" customHeight="1">
      <c r="A93" t="inlineStr">
        <is>
          <t>A 58706-2023</t>
        </is>
      </c>
      <c r="B93" s="1" t="n">
        <v>45251</v>
      </c>
      <c r="C93" s="1" t="n">
        <v>46200</v>
      </c>
      <c r="D93" t="inlineStr">
        <is>
          <t>VÄSTRA GÖTALANDS LÄN</t>
        </is>
      </c>
      <c r="E93" t="inlineStr">
        <is>
          <t>FALKÖPING</t>
        </is>
      </c>
      <c r="G93" t="n">
        <v>8.800000000000001</v>
      </c>
      <c r="H93" t="n">
        <v>0</v>
      </c>
      <c r="I93" t="n">
        <v>0</v>
      </c>
      <c r="J93" t="n">
        <v>0</v>
      </c>
      <c r="K93" t="n">
        <v>0</v>
      </c>
      <c r="L93" t="n">
        <v>0</v>
      </c>
      <c r="M93" t="n">
        <v>0</v>
      </c>
      <c r="N93" t="n">
        <v>0</v>
      </c>
      <c r="O93" t="n">
        <v>0</v>
      </c>
      <c r="P93" t="n">
        <v>0</v>
      </c>
      <c r="Q93" t="n">
        <v>0</v>
      </c>
      <c r="R93" s="2" t="inlineStr"/>
    </row>
    <row r="94" ht="15" customHeight="1">
      <c r="A94" t="inlineStr">
        <is>
          <t>A 21332-2023</t>
        </is>
      </c>
      <c r="B94" s="1" t="n">
        <v>45062</v>
      </c>
      <c r="C94" s="1" t="n">
        <v>46200</v>
      </c>
      <c r="D94" t="inlineStr">
        <is>
          <t>VÄSTRA GÖTALANDS LÄN</t>
        </is>
      </c>
      <c r="E94" t="inlineStr">
        <is>
          <t>FALKÖPING</t>
        </is>
      </c>
      <c r="G94" t="n">
        <v>1.3</v>
      </c>
      <c r="H94" t="n">
        <v>0</v>
      </c>
      <c r="I94" t="n">
        <v>0</v>
      </c>
      <c r="J94" t="n">
        <v>0</v>
      </c>
      <c r="K94" t="n">
        <v>0</v>
      </c>
      <c r="L94" t="n">
        <v>0</v>
      </c>
      <c r="M94" t="n">
        <v>0</v>
      </c>
      <c r="N94" t="n">
        <v>0</v>
      </c>
      <c r="O94" t="n">
        <v>0</v>
      </c>
      <c r="P94" t="n">
        <v>0</v>
      </c>
      <c r="Q94" t="n">
        <v>0</v>
      </c>
      <c r="R94" s="2" t="inlineStr"/>
    </row>
    <row r="95" ht="15" customHeight="1">
      <c r="A95" t="inlineStr">
        <is>
          <t>A 54102-2024</t>
        </is>
      </c>
      <c r="B95" s="1" t="n">
        <v>45616</v>
      </c>
      <c r="C95" s="1" t="n">
        <v>46200</v>
      </c>
      <c r="D95" t="inlineStr">
        <is>
          <t>VÄSTRA GÖTALANDS LÄN</t>
        </is>
      </c>
      <c r="E95" t="inlineStr">
        <is>
          <t>FALKÖPING</t>
        </is>
      </c>
      <c r="G95" t="n">
        <v>3.1</v>
      </c>
      <c r="H95" t="n">
        <v>0</v>
      </c>
      <c r="I95" t="n">
        <v>0</v>
      </c>
      <c r="J95" t="n">
        <v>0</v>
      </c>
      <c r="K95" t="n">
        <v>0</v>
      </c>
      <c r="L95" t="n">
        <v>0</v>
      </c>
      <c r="M95" t="n">
        <v>0</v>
      </c>
      <c r="N95" t="n">
        <v>0</v>
      </c>
      <c r="O95" t="n">
        <v>0</v>
      </c>
      <c r="P95" t="n">
        <v>0</v>
      </c>
      <c r="Q95" t="n">
        <v>0</v>
      </c>
      <c r="R95" s="2" t="inlineStr"/>
    </row>
    <row r="96" ht="15" customHeight="1">
      <c r="A96" t="inlineStr">
        <is>
          <t>A 26319-2023</t>
        </is>
      </c>
      <c r="B96" s="1" t="n">
        <v>45091</v>
      </c>
      <c r="C96" s="1" t="n">
        <v>46200</v>
      </c>
      <c r="D96" t="inlineStr">
        <is>
          <t>VÄSTRA GÖTALANDS LÄN</t>
        </is>
      </c>
      <c r="E96" t="inlineStr">
        <is>
          <t>FALKÖPING</t>
        </is>
      </c>
      <c r="G96" t="n">
        <v>1.7</v>
      </c>
      <c r="H96" t="n">
        <v>0</v>
      </c>
      <c r="I96" t="n">
        <v>0</v>
      </c>
      <c r="J96" t="n">
        <v>0</v>
      </c>
      <c r="K96" t="n">
        <v>0</v>
      </c>
      <c r="L96" t="n">
        <v>0</v>
      </c>
      <c r="M96" t="n">
        <v>0</v>
      </c>
      <c r="N96" t="n">
        <v>0</v>
      </c>
      <c r="O96" t="n">
        <v>0</v>
      </c>
      <c r="P96" t="n">
        <v>0</v>
      </c>
      <c r="Q96" t="n">
        <v>0</v>
      </c>
      <c r="R96" s="2" t="inlineStr"/>
    </row>
    <row r="97" ht="15" customHeight="1">
      <c r="A97" t="inlineStr">
        <is>
          <t>A 23014-2023</t>
        </is>
      </c>
      <c r="B97" s="1" t="n">
        <v>45073</v>
      </c>
      <c r="C97" s="1" t="n">
        <v>46200</v>
      </c>
      <c r="D97" t="inlineStr">
        <is>
          <t>VÄSTRA GÖTALANDS LÄN</t>
        </is>
      </c>
      <c r="E97" t="inlineStr">
        <is>
          <t>FALKÖPING</t>
        </is>
      </c>
      <c r="G97" t="n">
        <v>0.3</v>
      </c>
      <c r="H97" t="n">
        <v>0</v>
      </c>
      <c r="I97" t="n">
        <v>0</v>
      </c>
      <c r="J97" t="n">
        <v>0</v>
      </c>
      <c r="K97" t="n">
        <v>0</v>
      </c>
      <c r="L97" t="n">
        <v>0</v>
      </c>
      <c r="M97" t="n">
        <v>0</v>
      </c>
      <c r="N97" t="n">
        <v>0</v>
      </c>
      <c r="O97" t="n">
        <v>0</v>
      </c>
      <c r="P97" t="n">
        <v>0</v>
      </c>
      <c r="Q97" t="n">
        <v>0</v>
      </c>
      <c r="R97" s="2" t="inlineStr"/>
    </row>
    <row r="98" ht="15" customHeight="1">
      <c r="A98" t="inlineStr">
        <is>
          <t>A 35939-2022</t>
        </is>
      </c>
      <c r="B98" s="1" t="n">
        <v>44802</v>
      </c>
      <c r="C98" s="1" t="n">
        <v>46200</v>
      </c>
      <c r="D98" t="inlineStr">
        <is>
          <t>VÄSTRA GÖTALANDS LÄN</t>
        </is>
      </c>
      <c r="E98" t="inlineStr">
        <is>
          <t>FALKÖPING</t>
        </is>
      </c>
      <c r="G98" t="n">
        <v>0.7</v>
      </c>
      <c r="H98" t="n">
        <v>0</v>
      </c>
      <c r="I98" t="n">
        <v>0</v>
      </c>
      <c r="J98" t="n">
        <v>0</v>
      </c>
      <c r="K98" t="n">
        <v>0</v>
      </c>
      <c r="L98" t="n">
        <v>0</v>
      </c>
      <c r="M98" t="n">
        <v>0</v>
      </c>
      <c r="N98" t="n">
        <v>0</v>
      </c>
      <c r="O98" t="n">
        <v>0</v>
      </c>
      <c r="P98" t="n">
        <v>0</v>
      </c>
      <c r="Q98" t="n">
        <v>0</v>
      </c>
      <c r="R98" s="2" t="inlineStr"/>
    </row>
    <row r="99" ht="15" customHeight="1">
      <c r="A99" t="inlineStr">
        <is>
          <t>A 35842-2023</t>
        </is>
      </c>
      <c r="B99" s="1" t="n">
        <v>45148</v>
      </c>
      <c r="C99" s="1" t="n">
        <v>46200</v>
      </c>
      <c r="D99" t="inlineStr">
        <is>
          <t>VÄSTRA GÖTALANDS LÄN</t>
        </is>
      </c>
      <c r="E99" t="inlineStr">
        <is>
          <t>FALKÖPING</t>
        </is>
      </c>
      <c r="G99" t="n">
        <v>0.9</v>
      </c>
      <c r="H99" t="n">
        <v>0</v>
      </c>
      <c r="I99" t="n">
        <v>0</v>
      </c>
      <c r="J99" t="n">
        <v>0</v>
      </c>
      <c r="K99" t="n">
        <v>0</v>
      </c>
      <c r="L99" t="n">
        <v>0</v>
      </c>
      <c r="M99" t="n">
        <v>0</v>
      </c>
      <c r="N99" t="n">
        <v>0</v>
      </c>
      <c r="O99" t="n">
        <v>0</v>
      </c>
      <c r="P99" t="n">
        <v>0</v>
      </c>
      <c r="Q99" t="n">
        <v>0</v>
      </c>
      <c r="R99" s="2" t="inlineStr"/>
    </row>
    <row r="100" ht="15" customHeight="1">
      <c r="A100" t="inlineStr">
        <is>
          <t>A 30137-2023</t>
        </is>
      </c>
      <c r="B100" s="1" t="n">
        <v>45110</v>
      </c>
      <c r="C100" s="1" t="n">
        <v>46200</v>
      </c>
      <c r="D100" t="inlineStr">
        <is>
          <t>VÄSTRA GÖTALANDS LÄN</t>
        </is>
      </c>
      <c r="E100" t="inlineStr">
        <is>
          <t>FALKÖPING</t>
        </is>
      </c>
      <c r="G100" t="n">
        <v>1.6</v>
      </c>
      <c r="H100" t="n">
        <v>0</v>
      </c>
      <c r="I100" t="n">
        <v>0</v>
      </c>
      <c r="J100" t="n">
        <v>0</v>
      </c>
      <c r="K100" t="n">
        <v>0</v>
      </c>
      <c r="L100" t="n">
        <v>0</v>
      </c>
      <c r="M100" t="n">
        <v>0</v>
      </c>
      <c r="N100" t="n">
        <v>0</v>
      </c>
      <c r="O100" t="n">
        <v>0</v>
      </c>
      <c r="P100" t="n">
        <v>0</v>
      </c>
      <c r="Q100" t="n">
        <v>0</v>
      </c>
      <c r="R100" s="2" t="inlineStr"/>
    </row>
    <row r="101" ht="15" customHeight="1">
      <c r="A101" t="inlineStr">
        <is>
          <t>A 21961-2024</t>
        </is>
      </c>
      <c r="B101" s="1" t="n">
        <v>45443</v>
      </c>
      <c r="C101" s="1" t="n">
        <v>46200</v>
      </c>
      <c r="D101" t="inlineStr">
        <is>
          <t>VÄSTRA GÖTALANDS LÄN</t>
        </is>
      </c>
      <c r="E101" t="inlineStr">
        <is>
          <t>FALKÖPING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51207-2023</t>
        </is>
      </c>
      <c r="B102" s="1" t="n">
        <v>45219</v>
      </c>
      <c r="C102" s="1" t="n">
        <v>46200</v>
      </c>
      <c r="D102" t="inlineStr">
        <is>
          <t>VÄSTRA GÖTALANDS LÄN</t>
        </is>
      </c>
      <c r="E102" t="inlineStr">
        <is>
          <t>FALKÖPING</t>
        </is>
      </c>
      <c r="G102" t="n">
        <v>11.3</v>
      </c>
      <c r="H102" t="n">
        <v>0</v>
      </c>
      <c r="I102" t="n">
        <v>0</v>
      </c>
      <c r="J102" t="n">
        <v>0</v>
      </c>
      <c r="K102" t="n">
        <v>0</v>
      </c>
      <c r="L102" t="n">
        <v>0</v>
      </c>
      <c r="M102" t="n">
        <v>0</v>
      </c>
      <c r="N102" t="n">
        <v>0</v>
      </c>
      <c r="O102" t="n">
        <v>0</v>
      </c>
      <c r="P102" t="n">
        <v>0</v>
      </c>
      <c r="Q102" t="n">
        <v>0</v>
      </c>
      <c r="R102" s="2" t="inlineStr"/>
    </row>
    <row r="103" ht="15" customHeight="1">
      <c r="A103" t="inlineStr">
        <is>
          <t>A 60070-2024</t>
        </is>
      </c>
      <c r="B103" s="1" t="n">
        <v>45642</v>
      </c>
      <c r="C103" s="1" t="n">
        <v>46200</v>
      </c>
      <c r="D103" t="inlineStr">
        <is>
          <t>VÄSTRA GÖTALANDS LÄN</t>
        </is>
      </c>
      <c r="E103" t="inlineStr">
        <is>
          <t>FALKÖPING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55714-2024</t>
        </is>
      </c>
      <c r="B104" s="1" t="n">
        <v>45622</v>
      </c>
      <c r="C104" s="1" t="n">
        <v>46200</v>
      </c>
      <c r="D104" t="inlineStr">
        <is>
          <t>VÄSTRA GÖTALANDS LÄN</t>
        </is>
      </c>
      <c r="E104" t="inlineStr">
        <is>
          <t>FALKÖPING</t>
        </is>
      </c>
      <c r="G104" t="n">
        <v>4.7</v>
      </c>
      <c r="H104" t="n">
        <v>0</v>
      </c>
      <c r="I104" t="n">
        <v>0</v>
      </c>
      <c r="J104" t="n">
        <v>0</v>
      </c>
      <c r="K104" t="n">
        <v>0</v>
      </c>
      <c r="L104" t="n">
        <v>0</v>
      </c>
      <c r="M104" t="n">
        <v>0</v>
      </c>
      <c r="N104" t="n">
        <v>0</v>
      </c>
      <c r="O104" t="n">
        <v>0</v>
      </c>
      <c r="P104" t="n">
        <v>0</v>
      </c>
      <c r="Q104" t="n">
        <v>0</v>
      </c>
      <c r="R104" s="2" t="inlineStr"/>
    </row>
    <row r="105" ht="15" customHeight="1">
      <c r="A105" t="inlineStr">
        <is>
          <t>A 19341-2023</t>
        </is>
      </c>
      <c r="B105" s="1" t="n">
        <v>45049</v>
      </c>
      <c r="C105" s="1" t="n">
        <v>46200</v>
      </c>
      <c r="D105" t="inlineStr">
        <is>
          <t>VÄSTRA GÖTALANDS LÄN</t>
        </is>
      </c>
      <c r="E105" t="inlineStr">
        <is>
          <t>FALKÖPING</t>
        </is>
      </c>
      <c r="G105" t="n">
        <v>1.6</v>
      </c>
      <c r="H105" t="n">
        <v>0</v>
      </c>
      <c r="I105" t="n">
        <v>0</v>
      </c>
      <c r="J105" t="n">
        <v>0</v>
      </c>
      <c r="K105" t="n">
        <v>0</v>
      </c>
      <c r="L105" t="n">
        <v>0</v>
      </c>
      <c r="M105" t="n">
        <v>0</v>
      </c>
      <c r="N105" t="n">
        <v>0</v>
      </c>
      <c r="O105" t="n">
        <v>0</v>
      </c>
      <c r="P105" t="n">
        <v>0</v>
      </c>
      <c r="Q105" t="n">
        <v>0</v>
      </c>
      <c r="R105" s="2" t="inlineStr"/>
    </row>
    <row r="106" ht="15" customHeight="1">
      <c r="A106" t="inlineStr">
        <is>
          <t>A 17028-2025</t>
        </is>
      </c>
      <c r="B106" s="1" t="n">
        <v>45755</v>
      </c>
      <c r="C106" s="1" t="n">
        <v>46200</v>
      </c>
      <c r="D106" t="inlineStr">
        <is>
          <t>VÄSTRA GÖTALANDS LÄN</t>
        </is>
      </c>
      <c r="E106" t="inlineStr">
        <is>
          <t>FALKÖPING</t>
        </is>
      </c>
      <c r="G106" t="n">
        <v>7.3</v>
      </c>
      <c r="H106" t="n">
        <v>0</v>
      </c>
      <c r="I106" t="n">
        <v>0</v>
      </c>
      <c r="J106" t="n">
        <v>0</v>
      </c>
      <c r="K106" t="n">
        <v>0</v>
      </c>
      <c r="L106" t="n">
        <v>0</v>
      </c>
      <c r="M106" t="n">
        <v>0</v>
      </c>
      <c r="N106" t="n">
        <v>0</v>
      </c>
      <c r="O106" t="n">
        <v>0</v>
      </c>
      <c r="P106" t="n">
        <v>0</v>
      </c>
      <c r="Q106" t="n">
        <v>0</v>
      </c>
      <c r="R106" s="2" t="inlineStr"/>
    </row>
    <row r="107" ht="15" customHeight="1">
      <c r="A107" t="inlineStr">
        <is>
          <t>A 39515-2024</t>
        </is>
      </c>
      <c r="B107" s="1" t="n">
        <v>45551</v>
      </c>
      <c r="C107" s="1" t="n">
        <v>46200</v>
      </c>
      <c r="D107" t="inlineStr">
        <is>
          <t>VÄSTRA GÖTALANDS LÄN</t>
        </is>
      </c>
      <c r="E107" t="inlineStr">
        <is>
          <t>FALKÖPING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6750-2024</t>
        </is>
      </c>
      <c r="B108" s="1" t="n">
        <v>45342</v>
      </c>
      <c r="C108" s="1" t="n">
        <v>46200</v>
      </c>
      <c r="D108" t="inlineStr">
        <is>
          <t>VÄSTRA GÖTALANDS LÄN</t>
        </is>
      </c>
      <c r="E108" t="inlineStr">
        <is>
          <t>FALKÖPING</t>
        </is>
      </c>
      <c r="G108" t="n">
        <v>0.6</v>
      </c>
      <c r="H108" t="n">
        <v>0</v>
      </c>
      <c r="I108" t="n">
        <v>0</v>
      </c>
      <c r="J108" t="n">
        <v>0</v>
      </c>
      <c r="K108" t="n">
        <v>0</v>
      </c>
      <c r="L108" t="n">
        <v>0</v>
      </c>
      <c r="M108" t="n">
        <v>0</v>
      </c>
      <c r="N108" t="n">
        <v>0</v>
      </c>
      <c r="O108" t="n">
        <v>0</v>
      </c>
      <c r="P108" t="n">
        <v>0</v>
      </c>
      <c r="Q108" t="n">
        <v>0</v>
      </c>
      <c r="R108" s="2" t="inlineStr"/>
    </row>
    <row r="109" ht="15" customHeight="1">
      <c r="A109" t="inlineStr">
        <is>
          <t>A 57412-2024</t>
        </is>
      </c>
      <c r="B109" s="1" t="n">
        <v>45629</v>
      </c>
      <c r="C109" s="1" t="n">
        <v>46200</v>
      </c>
      <c r="D109" t="inlineStr">
        <is>
          <t>VÄSTRA GÖTALANDS LÄN</t>
        </is>
      </c>
      <c r="E109" t="inlineStr">
        <is>
          <t>FALKÖPING</t>
        </is>
      </c>
      <c r="G109" t="n">
        <v>3.5</v>
      </c>
      <c r="H109" t="n">
        <v>0</v>
      </c>
      <c r="I109" t="n">
        <v>0</v>
      </c>
      <c r="J109" t="n">
        <v>0</v>
      </c>
      <c r="K109" t="n">
        <v>0</v>
      </c>
      <c r="L109" t="n">
        <v>0</v>
      </c>
      <c r="M109" t="n">
        <v>0</v>
      </c>
      <c r="N109" t="n">
        <v>0</v>
      </c>
      <c r="O109" t="n">
        <v>0</v>
      </c>
      <c r="P109" t="n">
        <v>0</v>
      </c>
      <c r="Q109" t="n">
        <v>0</v>
      </c>
      <c r="R109" s="2" t="inlineStr"/>
    </row>
    <row r="110" ht="15" customHeight="1">
      <c r="A110" t="inlineStr">
        <is>
          <t>A 6729-2025</t>
        </is>
      </c>
      <c r="B110" s="1" t="n">
        <v>45700</v>
      </c>
      <c r="C110" s="1" t="n">
        <v>46200</v>
      </c>
      <c r="D110" t="inlineStr">
        <is>
          <t>VÄSTRA GÖTALANDS LÄN</t>
        </is>
      </c>
      <c r="E110" t="inlineStr">
        <is>
          <t>FALKÖPING</t>
        </is>
      </c>
      <c r="G110" t="n">
        <v>0.7</v>
      </c>
      <c r="H110" t="n">
        <v>0</v>
      </c>
      <c r="I110" t="n">
        <v>0</v>
      </c>
      <c r="J110" t="n">
        <v>0</v>
      </c>
      <c r="K110" t="n">
        <v>0</v>
      </c>
      <c r="L110" t="n">
        <v>0</v>
      </c>
      <c r="M110" t="n">
        <v>0</v>
      </c>
      <c r="N110" t="n">
        <v>0</v>
      </c>
      <c r="O110" t="n">
        <v>0</v>
      </c>
      <c r="P110" t="n">
        <v>0</v>
      </c>
      <c r="Q110" t="n">
        <v>0</v>
      </c>
      <c r="R110" s="2" t="inlineStr"/>
    </row>
    <row r="111" ht="15" customHeight="1">
      <c r="A111" t="inlineStr">
        <is>
          <t>A 28463-2023</t>
        </is>
      </c>
      <c r="B111" s="1" t="n">
        <v>45103</v>
      </c>
      <c r="C111" s="1" t="n">
        <v>46200</v>
      </c>
      <c r="D111" t="inlineStr">
        <is>
          <t>VÄSTRA GÖTALANDS LÄN</t>
        </is>
      </c>
      <c r="E111" t="inlineStr">
        <is>
          <t>FALKÖPING</t>
        </is>
      </c>
      <c r="G111" t="n">
        <v>8.4</v>
      </c>
      <c r="H111" t="n">
        <v>0</v>
      </c>
      <c r="I111" t="n">
        <v>0</v>
      </c>
      <c r="J111" t="n">
        <v>0</v>
      </c>
      <c r="K111" t="n">
        <v>0</v>
      </c>
      <c r="L111" t="n">
        <v>0</v>
      </c>
      <c r="M111" t="n">
        <v>0</v>
      </c>
      <c r="N111" t="n">
        <v>0</v>
      </c>
      <c r="O111" t="n">
        <v>0</v>
      </c>
      <c r="P111" t="n">
        <v>0</v>
      </c>
      <c r="Q111" t="n">
        <v>0</v>
      </c>
      <c r="R111" s="2" t="inlineStr"/>
    </row>
    <row r="112" ht="15" customHeight="1">
      <c r="A112" t="inlineStr">
        <is>
          <t>A 29225-2023</t>
        </is>
      </c>
      <c r="B112" s="1" t="n">
        <v>45105</v>
      </c>
      <c r="C112" s="1" t="n">
        <v>46200</v>
      </c>
      <c r="D112" t="inlineStr">
        <is>
          <t>VÄSTRA GÖTALANDS LÄN</t>
        </is>
      </c>
      <c r="E112" t="inlineStr">
        <is>
          <t>FALKÖPING</t>
        </is>
      </c>
      <c r="G112" t="n">
        <v>2.6</v>
      </c>
      <c r="H112" t="n">
        <v>0</v>
      </c>
      <c r="I112" t="n">
        <v>0</v>
      </c>
      <c r="J112" t="n">
        <v>0</v>
      </c>
      <c r="K112" t="n">
        <v>0</v>
      </c>
      <c r="L112" t="n">
        <v>0</v>
      </c>
      <c r="M112" t="n">
        <v>0</v>
      </c>
      <c r="N112" t="n">
        <v>0</v>
      </c>
      <c r="O112" t="n">
        <v>0</v>
      </c>
      <c r="P112" t="n">
        <v>0</v>
      </c>
      <c r="Q112" t="n">
        <v>0</v>
      </c>
      <c r="R112" s="2" t="inlineStr"/>
    </row>
    <row r="113" ht="15" customHeight="1">
      <c r="A113" t="inlineStr">
        <is>
          <t>A 1796-2024</t>
        </is>
      </c>
      <c r="B113" s="1" t="n">
        <v>45307</v>
      </c>
      <c r="C113" s="1" t="n">
        <v>46200</v>
      </c>
      <c r="D113" t="inlineStr">
        <is>
          <t>VÄSTRA GÖTALANDS LÄN</t>
        </is>
      </c>
      <c r="E113" t="inlineStr">
        <is>
          <t>FALKÖPING</t>
        </is>
      </c>
      <c r="G113" t="n">
        <v>2.2</v>
      </c>
      <c r="H113" t="n">
        <v>0</v>
      </c>
      <c r="I113" t="n">
        <v>0</v>
      </c>
      <c r="J113" t="n">
        <v>0</v>
      </c>
      <c r="K113" t="n">
        <v>0</v>
      </c>
      <c r="L113" t="n">
        <v>0</v>
      </c>
      <c r="M113" t="n">
        <v>0</v>
      </c>
      <c r="N113" t="n">
        <v>0</v>
      </c>
      <c r="O113" t="n">
        <v>0</v>
      </c>
      <c r="P113" t="n">
        <v>0</v>
      </c>
      <c r="Q113" t="n">
        <v>0</v>
      </c>
      <c r="R113" s="2" t="inlineStr"/>
    </row>
    <row r="114" ht="15" customHeight="1">
      <c r="A114" t="inlineStr">
        <is>
          <t>A 10049-2023</t>
        </is>
      </c>
      <c r="B114" s="1" t="n">
        <v>44985</v>
      </c>
      <c r="C114" s="1" t="n">
        <v>46200</v>
      </c>
      <c r="D114" t="inlineStr">
        <is>
          <t>VÄSTRA GÖTALANDS LÄN</t>
        </is>
      </c>
      <c r="E114" t="inlineStr">
        <is>
          <t>FALKÖPING</t>
        </is>
      </c>
      <c r="G114" t="n">
        <v>2.5</v>
      </c>
      <c r="H114" t="n">
        <v>0</v>
      </c>
      <c r="I114" t="n">
        <v>0</v>
      </c>
      <c r="J114" t="n">
        <v>0</v>
      </c>
      <c r="K114" t="n">
        <v>0</v>
      </c>
      <c r="L114" t="n">
        <v>0</v>
      </c>
      <c r="M114" t="n">
        <v>0</v>
      </c>
      <c r="N114" t="n">
        <v>0</v>
      </c>
      <c r="O114" t="n">
        <v>0</v>
      </c>
      <c r="P114" t="n">
        <v>0</v>
      </c>
      <c r="Q114" t="n">
        <v>0</v>
      </c>
      <c r="R114" s="2" t="inlineStr"/>
    </row>
    <row r="115" ht="15" customHeight="1">
      <c r="A115" t="inlineStr">
        <is>
          <t>A 32774-2023</t>
        </is>
      </c>
      <c r="B115" s="1" t="n">
        <v>45123</v>
      </c>
      <c r="C115" s="1" t="n">
        <v>46200</v>
      </c>
      <c r="D115" t="inlineStr">
        <is>
          <t>VÄSTRA GÖTALANDS LÄN</t>
        </is>
      </c>
      <c r="E115" t="inlineStr">
        <is>
          <t>FALKÖPING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21161-2022</t>
        </is>
      </c>
      <c r="B116" s="1" t="n">
        <v>44704</v>
      </c>
      <c r="C116" s="1" t="n">
        <v>46200</v>
      </c>
      <c r="D116" t="inlineStr">
        <is>
          <t>VÄSTRA GÖTALANDS LÄN</t>
        </is>
      </c>
      <c r="E116" t="inlineStr">
        <is>
          <t>FALKÖPING</t>
        </is>
      </c>
      <c r="G116" t="n">
        <v>0.1</v>
      </c>
      <c r="H116" t="n">
        <v>0</v>
      </c>
      <c r="I116" t="n">
        <v>0</v>
      </c>
      <c r="J116" t="n">
        <v>0</v>
      </c>
      <c r="K116" t="n">
        <v>0</v>
      </c>
      <c r="L116" t="n">
        <v>0</v>
      </c>
      <c r="M116" t="n">
        <v>0</v>
      </c>
      <c r="N116" t="n">
        <v>0</v>
      </c>
      <c r="O116" t="n">
        <v>0</v>
      </c>
      <c r="P116" t="n">
        <v>0</v>
      </c>
      <c r="Q116" t="n">
        <v>0</v>
      </c>
      <c r="R116" s="2" t="inlineStr"/>
    </row>
    <row r="117" ht="15" customHeight="1">
      <c r="A117" t="inlineStr">
        <is>
          <t>A 36798-2023</t>
        </is>
      </c>
      <c r="B117" s="1" t="n">
        <v>45154</v>
      </c>
      <c r="C117" s="1" t="n">
        <v>46200</v>
      </c>
      <c r="D117" t="inlineStr">
        <is>
          <t>VÄSTRA GÖTALANDS LÄN</t>
        </is>
      </c>
      <c r="E117" t="inlineStr">
        <is>
          <t>FALKÖPING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57728-2024</t>
        </is>
      </c>
      <c r="B118" s="1" t="n">
        <v>45630</v>
      </c>
      <c r="C118" s="1" t="n">
        <v>46200</v>
      </c>
      <c r="D118" t="inlineStr">
        <is>
          <t>VÄSTRA GÖTALANDS LÄN</t>
        </is>
      </c>
      <c r="E118" t="inlineStr">
        <is>
          <t>FALKÖPING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47067-2024</t>
        </is>
      </c>
      <c r="B119" s="1" t="n">
        <v>45586</v>
      </c>
      <c r="C119" s="1" t="n">
        <v>46200</v>
      </c>
      <c r="D119" t="inlineStr">
        <is>
          <t>VÄSTRA GÖTALANDS LÄN</t>
        </is>
      </c>
      <c r="E119" t="inlineStr">
        <is>
          <t>FALKÖPING</t>
        </is>
      </c>
      <c r="G119" t="n">
        <v>6.9</v>
      </c>
      <c r="H119" t="n">
        <v>0</v>
      </c>
      <c r="I119" t="n">
        <v>0</v>
      </c>
      <c r="J119" t="n">
        <v>0</v>
      </c>
      <c r="K119" t="n">
        <v>0</v>
      </c>
      <c r="L119" t="n">
        <v>0</v>
      </c>
      <c r="M119" t="n">
        <v>0</v>
      </c>
      <c r="N119" t="n">
        <v>0</v>
      </c>
      <c r="O119" t="n">
        <v>0</v>
      </c>
      <c r="P119" t="n">
        <v>0</v>
      </c>
      <c r="Q119" t="n">
        <v>0</v>
      </c>
      <c r="R119" s="2" t="inlineStr"/>
    </row>
    <row r="120" ht="15" customHeight="1">
      <c r="A120" t="inlineStr">
        <is>
          <t>A 44000-2022</t>
        </is>
      </c>
      <c r="B120" s="1" t="n">
        <v>44838</v>
      </c>
      <c r="C120" s="1" t="n">
        <v>46200</v>
      </c>
      <c r="D120" t="inlineStr">
        <is>
          <t>VÄSTRA GÖTALANDS LÄN</t>
        </is>
      </c>
      <c r="E120" t="inlineStr">
        <is>
          <t>FALKÖPING</t>
        </is>
      </c>
      <c r="G120" t="n">
        <v>2.2</v>
      </c>
      <c r="H120" t="n">
        <v>0</v>
      </c>
      <c r="I120" t="n">
        <v>0</v>
      </c>
      <c r="J120" t="n">
        <v>0</v>
      </c>
      <c r="K120" t="n">
        <v>0</v>
      </c>
      <c r="L120" t="n">
        <v>0</v>
      </c>
      <c r="M120" t="n">
        <v>0</v>
      </c>
      <c r="N120" t="n">
        <v>0</v>
      </c>
      <c r="O120" t="n">
        <v>0</v>
      </c>
      <c r="P120" t="n">
        <v>0</v>
      </c>
      <c r="Q120" t="n">
        <v>0</v>
      </c>
      <c r="R120" s="2" t="inlineStr"/>
    </row>
    <row r="121" ht="15" customHeight="1">
      <c r="A121" t="inlineStr">
        <is>
          <t>A 43783-2023</t>
        </is>
      </c>
      <c r="B121" s="1" t="n">
        <v>45187</v>
      </c>
      <c r="C121" s="1" t="n">
        <v>46200</v>
      </c>
      <c r="D121" t="inlineStr">
        <is>
          <t>VÄSTRA GÖTALANDS LÄN</t>
        </is>
      </c>
      <c r="E121" t="inlineStr">
        <is>
          <t>FALKÖPING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4214-2024</t>
        </is>
      </c>
      <c r="B122" s="1" t="n">
        <v>45324</v>
      </c>
      <c r="C122" s="1" t="n">
        <v>46200</v>
      </c>
      <c r="D122" t="inlineStr">
        <is>
          <t>VÄSTRA GÖTALANDS LÄN</t>
        </is>
      </c>
      <c r="E122" t="inlineStr">
        <is>
          <t>FALKÖPING</t>
        </is>
      </c>
      <c r="G122" t="n">
        <v>6.2</v>
      </c>
      <c r="H122" t="n">
        <v>0</v>
      </c>
      <c r="I122" t="n">
        <v>0</v>
      </c>
      <c r="J122" t="n">
        <v>0</v>
      </c>
      <c r="K122" t="n">
        <v>0</v>
      </c>
      <c r="L122" t="n">
        <v>0</v>
      </c>
      <c r="M122" t="n">
        <v>0</v>
      </c>
      <c r="N122" t="n">
        <v>0</v>
      </c>
      <c r="O122" t="n">
        <v>0</v>
      </c>
      <c r="P122" t="n">
        <v>0</v>
      </c>
      <c r="Q122" t="n">
        <v>0</v>
      </c>
      <c r="R122" s="2" t="inlineStr"/>
    </row>
    <row r="123" ht="15" customHeight="1">
      <c r="A123" t="inlineStr">
        <is>
          <t>A 44023-2022</t>
        </is>
      </c>
      <c r="B123" s="1" t="n">
        <v>44838</v>
      </c>
      <c r="C123" s="1" t="n">
        <v>46200</v>
      </c>
      <c r="D123" t="inlineStr">
        <is>
          <t>VÄSTRA GÖTALANDS LÄN</t>
        </is>
      </c>
      <c r="E123" t="inlineStr">
        <is>
          <t>FALKÖPING</t>
        </is>
      </c>
      <c r="G123" t="n">
        <v>2.8</v>
      </c>
      <c r="H123" t="n">
        <v>0</v>
      </c>
      <c r="I123" t="n">
        <v>0</v>
      </c>
      <c r="J123" t="n">
        <v>0</v>
      </c>
      <c r="K123" t="n">
        <v>0</v>
      </c>
      <c r="L123" t="n">
        <v>0</v>
      </c>
      <c r="M123" t="n">
        <v>0</v>
      </c>
      <c r="N123" t="n">
        <v>0</v>
      </c>
      <c r="O123" t="n">
        <v>0</v>
      </c>
      <c r="P123" t="n">
        <v>0</v>
      </c>
      <c r="Q123" t="n">
        <v>0</v>
      </c>
      <c r="R123" s="2" t="inlineStr"/>
    </row>
    <row r="124" ht="15" customHeight="1">
      <c r="A124" t="inlineStr">
        <is>
          <t>A 49416-2021</t>
        </is>
      </c>
      <c r="B124" s="1" t="n">
        <v>44454</v>
      </c>
      <c r="C124" s="1" t="n">
        <v>46200</v>
      </c>
      <c r="D124" t="inlineStr">
        <is>
          <t>VÄSTRA GÖTALANDS LÄN</t>
        </is>
      </c>
      <c r="E124" t="inlineStr">
        <is>
          <t>FALKÖPING</t>
        </is>
      </c>
      <c r="G124" t="n">
        <v>5.5</v>
      </c>
      <c r="H124" t="n">
        <v>0</v>
      </c>
      <c r="I124" t="n">
        <v>0</v>
      </c>
      <c r="J124" t="n">
        <v>0</v>
      </c>
      <c r="K124" t="n">
        <v>0</v>
      </c>
      <c r="L124" t="n">
        <v>0</v>
      </c>
      <c r="M124" t="n">
        <v>0</v>
      </c>
      <c r="N124" t="n">
        <v>0</v>
      </c>
      <c r="O124" t="n">
        <v>0</v>
      </c>
      <c r="P124" t="n">
        <v>0</v>
      </c>
      <c r="Q124" t="n">
        <v>0</v>
      </c>
      <c r="R124" s="2" t="inlineStr"/>
    </row>
    <row r="125" ht="15" customHeight="1">
      <c r="A125" t="inlineStr">
        <is>
          <t>A 38394-2023</t>
        </is>
      </c>
      <c r="B125" s="1" t="n">
        <v>45162</v>
      </c>
      <c r="C125" s="1" t="n">
        <v>46200</v>
      </c>
      <c r="D125" t="inlineStr">
        <is>
          <t>VÄSTRA GÖTALANDS LÄN</t>
        </is>
      </c>
      <c r="E125" t="inlineStr">
        <is>
          <t>FALKÖPING</t>
        </is>
      </c>
      <c r="G125" t="n">
        <v>1.5</v>
      </c>
      <c r="H125" t="n">
        <v>0</v>
      </c>
      <c r="I125" t="n">
        <v>0</v>
      </c>
      <c r="J125" t="n">
        <v>0</v>
      </c>
      <c r="K125" t="n">
        <v>0</v>
      </c>
      <c r="L125" t="n">
        <v>0</v>
      </c>
      <c r="M125" t="n">
        <v>0</v>
      </c>
      <c r="N125" t="n">
        <v>0</v>
      </c>
      <c r="O125" t="n">
        <v>0</v>
      </c>
      <c r="P125" t="n">
        <v>0</v>
      </c>
      <c r="Q125" t="n">
        <v>0</v>
      </c>
      <c r="R125" s="2" t="inlineStr"/>
    </row>
    <row r="126" ht="15" customHeight="1">
      <c r="A126" t="inlineStr">
        <is>
          <t>A 4675-2023</t>
        </is>
      </c>
      <c r="B126" s="1" t="n">
        <v>44957</v>
      </c>
      <c r="C126" s="1" t="n">
        <v>46200</v>
      </c>
      <c r="D126" t="inlineStr">
        <is>
          <t>VÄSTRA GÖTALANDS LÄN</t>
        </is>
      </c>
      <c r="E126" t="inlineStr">
        <is>
          <t>FALKÖPING</t>
        </is>
      </c>
      <c r="G126" t="n">
        <v>0.4</v>
      </c>
      <c r="H126" t="n">
        <v>0</v>
      </c>
      <c r="I126" t="n">
        <v>0</v>
      </c>
      <c r="J126" t="n">
        <v>0</v>
      </c>
      <c r="K126" t="n">
        <v>0</v>
      </c>
      <c r="L126" t="n">
        <v>0</v>
      </c>
      <c r="M126" t="n">
        <v>0</v>
      </c>
      <c r="N126" t="n">
        <v>0</v>
      </c>
      <c r="O126" t="n">
        <v>0</v>
      </c>
      <c r="P126" t="n">
        <v>0</v>
      </c>
      <c r="Q126" t="n">
        <v>0</v>
      </c>
      <c r="R126" s="2" t="inlineStr"/>
    </row>
    <row r="127" ht="15" customHeight="1">
      <c r="A127" t="inlineStr">
        <is>
          <t>A 38320-2023</t>
        </is>
      </c>
      <c r="B127" s="1" t="n">
        <v>45161</v>
      </c>
      <c r="C127" s="1" t="n">
        <v>46200</v>
      </c>
      <c r="D127" t="inlineStr">
        <is>
          <t>VÄSTRA GÖTALANDS LÄN</t>
        </is>
      </c>
      <c r="E127" t="inlineStr">
        <is>
          <t>FALKÖPING</t>
        </is>
      </c>
      <c r="G127" t="n">
        <v>3.4</v>
      </c>
      <c r="H127" t="n">
        <v>0</v>
      </c>
      <c r="I127" t="n">
        <v>0</v>
      </c>
      <c r="J127" t="n">
        <v>0</v>
      </c>
      <c r="K127" t="n">
        <v>0</v>
      </c>
      <c r="L127" t="n">
        <v>0</v>
      </c>
      <c r="M127" t="n">
        <v>0</v>
      </c>
      <c r="N127" t="n">
        <v>0</v>
      </c>
      <c r="O127" t="n">
        <v>0</v>
      </c>
      <c r="P127" t="n">
        <v>0</v>
      </c>
      <c r="Q127" t="n">
        <v>0</v>
      </c>
      <c r="R127" s="2" t="inlineStr"/>
    </row>
    <row r="128" ht="15" customHeight="1">
      <c r="A128" t="inlineStr">
        <is>
          <t>A 4585-2025</t>
        </is>
      </c>
      <c r="B128" s="1" t="n">
        <v>45687</v>
      </c>
      <c r="C128" s="1" t="n">
        <v>46200</v>
      </c>
      <c r="D128" t="inlineStr">
        <is>
          <t>VÄSTRA GÖTALANDS LÄN</t>
        </is>
      </c>
      <c r="E128" t="inlineStr">
        <is>
          <t>FALKÖPING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48016-2023</t>
        </is>
      </c>
      <c r="B129" s="1" t="n">
        <v>45204</v>
      </c>
      <c r="C129" s="1" t="n">
        <v>46200</v>
      </c>
      <c r="D129" t="inlineStr">
        <is>
          <t>VÄSTRA GÖTALANDS LÄN</t>
        </is>
      </c>
      <c r="E129" t="inlineStr">
        <is>
          <t>FALKÖPING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51664-2024</t>
        </is>
      </c>
      <c r="B130" s="1" t="n">
        <v>45606</v>
      </c>
      <c r="C130" s="1" t="n">
        <v>46200</v>
      </c>
      <c r="D130" t="inlineStr">
        <is>
          <t>VÄSTRA GÖTALANDS LÄN</t>
        </is>
      </c>
      <c r="E130" t="inlineStr">
        <is>
          <t>FALKÖPING</t>
        </is>
      </c>
      <c r="G130" t="n">
        <v>1.1</v>
      </c>
      <c r="H130" t="n">
        <v>0</v>
      </c>
      <c r="I130" t="n">
        <v>0</v>
      </c>
      <c r="J130" t="n">
        <v>0</v>
      </c>
      <c r="K130" t="n">
        <v>0</v>
      </c>
      <c r="L130" t="n">
        <v>0</v>
      </c>
      <c r="M130" t="n">
        <v>0</v>
      </c>
      <c r="N130" t="n">
        <v>0</v>
      </c>
      <c r="O130" t="n">
        <v>0</v>
      </c>
      <c r="P130" t="n">
        <v>0</v>
      </c>
      <c r="Q130" t="n">
        <v>0</v>
      </c>
      <c r="R130" s="2" t="inlineStr"/>
    </row>
    <row r="131" ht="15" customHeight="1">
      <c r="A131" t="inlineStr">
        <is>
          <t>A 12774-2024</t>
        </is>
      </c>
      <c r="B131" s="1" t="n">
        <v>45384</v>
      </c>
      <c r="C131" s="1" t="n">
        <v>46200</v>
      </c>
      <c r="D131" t="inlineStr">
        <is>
          <t>VÄSTRA GÖTALANDS LÄN</t>
        </is>
      </c>
      <c r="E131" t="inlineStr">
        <is>
          <t>FALKÖPING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29974-2024</t>
        </is>
      </c>
      <c r="B132" s="1" t="n">
        <v>45488</v>
      </c>
      <c r="C132" s="1" t="n">
        <v>46200</v>
      </c>
      <c r="D132" t="inlineStr">
        <is>
          <t>VÄSTRA GÖTALANDS LÄN</t>
        </is>
      </c>
      <c r="E132" t="inlineStr">
        <is>
          <t>FALKÖPING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44878-2023</t>
        </is>
      </c>
      <c r="B133" s="1" t="n">
        <v>45187</v>
      </c>
      <c r="C133" s="1" t="n">
        <v>46200</v>
      </c>
      <c r="D133" t="inlineStr">
        <is>
          <t>VÄSTRA GÖTALANDS LÄN</t>
        </is>
      </c>
      <c r="E133" t="inlineStr">
        <is>
          <t>FALKÖPING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52704-2023</t>
        </is>
      </c>
      <c r="B134" s="1" t="n">
        <v>45225</v>
      </c>
      <c r="C134" s="1" t="n">
        <v>46200</v>
      </c>
      <c r="D134" t="inlineStr">
        <is>
          <t>VÄSTRA GÖTALANDS LÄN</t>
        </is>
      </c>
      <c r="E134" t="inlineStr">
        <is>
          <t>FALKÖPING</t>
        </is>
      </c>
      <c r="G134" t="n">
        <v>2.2</v>
      </c>
      <c r="H134" t="n">
        <v>0</v>
      </c>
      <c r="I134" t="n">
        <v>0</v>
      </c>
      <c r="J134" t="n">
        <v>0</v>
      </c>
      <c r="K134" t="n">
        <v>0</v>
      </c>
      <c r="L134" t="n">
        <v>0</v>
      </c>
      <c r="M134" t="n">
        <v>0</v>
      </c>
      <c r="N134" t="n">
        <v>0</v>
      </c>
      <c r="O134" t="n">
        <v>0</v>
      </c>
      <c r="P134" t="n">
        <v>0</v>
      </c>
      <c r="Q134" t="n">
        <v>0</v>
      </c>
      <c r="R134" s="2" t="inlineStr"/>
    </row>
    <row r="135" ht="15" customHeight="1">
      <c r="A135" t="inlineStr">
        <is>
          <t>A 24869-2023</t>
        </is>
      </c>
      <c r="B135" s="1" t="n">
        <v>45085</v>
      </c>
      <c r="C135" s="1" t="n">
        <v>46200</v>
      </c>
      <c r="D135" t="inlineStr">
        <is>
          <t>VÄSTRA GÖTALANDS LÄN</t>
        </is>
      </c>
      <c r="E135" t="inlineStr">
        <is>
          <t>FALKÖPING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52893-2023</t>
        </is>
      </c>
      <c r="B136" s="1" t="n">
        <v>45226</v>
      </c>
      <c r="C136" s="1" t="n">
        <v>46200</v>
      </c>
      <c r="D136" t="inlineStr">
        <is>
          <t>VÄSTRA GÖTALANDS LÄN</t>
        </is>
      </c>
      <c r="E136" t="inlineStr">
        <is>
          <t>FALKÖPING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35836-2023</t>
        </is>
      </c>
      <c r="B137" s="1" t="n">
        <v>45148</v>
      </c>
      <c r="C137" s="1" t="n">
        <v>46200</v>
      </c>
      <c r="D137" t="inlineStr">
        <is>
          <t>VÄSTRA GÖTALANDS LÄN</t>
        </is>
      </c>
      <c r="E137" t="inlineStr">
        <is>
          <t>FALKÖPING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2657-2022</t>
        </is>
      </c>
      <c r="B138" s="1" t="n">
        <v>44580</v>
      </c>
      <c r="C138" s="1" t="n">
        <v>46200</v>
      </c>
      <c r="D138" t="inlineStr">
        <is>
          <t>VÄSTRA GÖTALANDS LÄN</t>
        </is>
      </c>
      <c r="E138" t="inlineStr">
        <is>
          <t>FALKÖPING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9958-2024</t>
        </is>
      </c>
      <c r="B139" s="1" t="n">
        <v>45363</v>
      </c>
      <c r="C139" s="1" t="n">
        <v>46200</v>
      </c>
      <c r="D139" t="inlineStr">
        <is>
          <t>VÄSTRA GÖTALANDS LÄN</t>
        </is>
      </c>
      <c r="E139" t="inlineStr">
        <is>
          <t>FALKÖPING</t>
        </is>
      </c>
      <c r="G139" t="n">
        <v>1.3</v>
      </c>
      <c r="H139" t="n">
        <v>0</v>
      </c>
      <c r="I139" t="n">
        <v>0</v>
      </c>
      <c r="J139" t="n">
        <v>0</v>
      </c>
      <c r="K139" t="n">
        <v>0</v>
      </c>
      <c r="L139" t="n">
        <v>0</v>
      </c>
      <c r="M139" t="n">
        <v>0</v>
      </c>
      <c r="N139" t="n">
        <v>0</v>
      </c>
      <c r="O139" t="n">
        <v>0</v>
      </c>
      <c r="P139" t="n">
        <v>0</v>
      </c>
      <c r="Q139" t="n">
        <v>0</v>
      </c>
      <c r="R139" s="2" t="inlineStr"/>
    </row>
    <row r="140" ht="15" customHeight="1">
      <c r="A140" t="inlineStr">
        <is>
          <t>A 24714-2023</t>
        </is>
      </c>
      <c r="B140" s="1" t="n">
        <v>45084</v>
      </c>
      <c r="C140" s="1" t="n">
        <v>46200</v>
      </c>
      <c r="D140" t="inlineStr">
        <is>
          <t>VÄSTRA GÖTALANDS LÄN</t>
        </is>
      </c>
      <c r="E140" t="inlineStr">
        <is>
          <t>FALKÖPING</t>
        </is>
      </c>
      <c r="G140" t="n">
        <v>5.7</v>
      </c>
      <c r="H140" t="n">
        <v>0</v>
      </c>
      <c r="I140" t="n">
        <v>0</v>
      </c>
      <c r="J140" t="n">
        <v>0</v>
      </c>
      <c r="K140" t="n">
        <v>0</v>
      </c>
      <c r="L140" t="n">
        <v>0</v>
      </c>
      <c r="M140" t="n">
        <v>0</v>
      </c>
      <c r="N140" t="n">
        <v>0</v>
      </c>
      <c r="O140" t="n">
        <v>0</v>
      </c>
      <c r="P140" t="n">
        <v>0</v>
      </c>
      <c r="Q140" t="n">
        <v>0</v>
      </c>
      <c r="R140" s="2" t="inlineStr"/>
    </row>
    <row r="141" ht="15" customHeight="1">
      <c r="A141" t="inlineStr">
        <is>
          <t>A 40834-2024</t>
        </is>
      </c>
      <c r="B141" s="1" t="n">
        <v>45558</v>
      </c>
      <c r="C141" s="1" t="n">
        <v>46200</v>
      </c>
      <c r="D141" t="inlineStr">
        <is>
          <t>VÄSTRA GÖTALANDS LÄN</t>
        </is>
      </c>
      <c r="E141" t="inlineStr">
        <is>
          <t>FALKÖPING</t>
        </is>
      </c>
      <c r="G141" t="n">
        <v>1.6</v>
      </c>
      <c r="H141" t="n">
        <v>0</v>
      </c>
      <c r="I141" t="n">
        <v>0</v>
      </c>
      <c r="J141" t="n">
        <v>0</v>
      </c>
      <c r="K141" t="n">
        <v>0</v>
      </c>
      <c r="L141" t="n">
        <v>0</v>
      </c>
      <c r="M141" t="n">
        <v>0</v>
      </c>
      <c r="N141" t="n">
        <v>0</v>
      </c>
      <c r="O141" t="n">
        <v>0</v>
      </c>
      <c r="P141" t="n">
        <v>0</v>
      </c>
      <c r="Q141" t="n">
        <v>0</v>
      </c>
      <c r="R141" s="2" t="inlineStr"/>
    </row>
    <row r="142" ht="15" customHeight="1">
      <c r="A142" t="inlineStr">
        <is>
          <t>A 19474-2023</t>
        </is>
      </c>
      <c r="B142" s="1" t="n">
        <v>45050</v>
      </c>
      <c r="C142" s="1" t="n">
        <v>46200</v>
      </c>
      <c r="D142" t="inlineStr">
        <is>
          <t>VÄSTRA GÖTALANDS LÄN</t>
        </is>
      </c>
      <c r="E142" t="inlineStr">
        <is>
          <t>FALKÖPING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48660-2024</t>
        </is>
      </c>
      <c r="B143" s="1" t="n">
        <v>45593</v>
      </c>
      <c r="C143" s="1" t="n">
        <v>46200</v>
      </c>
      <c r="D143" t="inlineStr">
        <is>
          <t>VÄSTRA GÖTALANDS LÄN</t>
        </is>
      </c>
      <c r="E143" t="inlineStr">
        <is>
          <t>FALKÖPING</t>
        </is>
      </c>
      <c r="G143" t="n">
        <v>1.3</v>
      </c>
      <c r="H143" t="n">
        <v>0</v>
      </c>
      <c r="I143" t="n">
        <v>0</v>
      </c>
      <c r="J143" t="n">
        <v>0</v>
      </c>
      <c r="K143" t="n">
        <v>0</v>
      </c>
      <c r="L143" t="n">
        <v>0</v>
      </c>
      <c r="M143" t="n">
        <v>0</v>
      </c>
      <c r="N143" t="n">
        <v>0</v>
      </c>
      <c r="O143" t="n">
        <v>0</v>
      </c>
      <c r="P143" t="n">
        <v>0</v>
      </c>
      <c r="Q143" t="n">
        <v>0</v>
      </c>
      <c r="R143" s="2" t="inlineStr"/>
    </row>
    <row r="144" ht="15" customHeight="1">
      <c r="A144" t="inlineStr">
        <is>
          <t>A 28310-2022</t>
        </is>
      </c>
      <c r="B144" s="1" t="n">
        <v>44747</v>
      </c>
      <c r="C144" s="1" t="n">
        <v>46200</v>
      </c>
      <c r="D144" t="inlineStr">
        <is>
          <t>VÄSTRA GÖTALANDS LÄN</t>
        </is>
      </c>
      <c r="E144" t="inlineStr">
        <is>
          <t>FALKÖPING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58257-2023</t>
        </is>
      </c>
      <c r="B145" s="1" t="n">
        <v>45250</v>
      </c>
      <c r="C145" s="1" t="n">
        <v>46200</v>
      </c>
      <c r="D145" t="inlineStr">
        <is>
          <t>VÄSTRA GÖTALANDS LÄN</t>
        </is>
      </c>
      <c r="E145" t="inlineStr">
        <is>
          <t>FALKÖPING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44285-2023</t>
        </is>
      </c>
      <c r="B146" s="1" t="n">
        <v>45188</v>
      </c>
      <c r="C146" s="1" t="n">
        <v>46200</v>
      </c>
      <c r="D146" t="inlineStr">
        <is>
          <t>VÄSTRA GÖTALANDS LÄN</t>
        </is>
      </c>
      <c r="E146" t="inlineStr">
        <is>
          <t>FALKÖPING</t>
        </is>
      </c>
      <c r="G146" t="n">
        <v>8.1</v>
      </c>
      <c r="H146" t="n">
        <v>0</v>
      </c>
      <c r="I146" t="n">
        <v>0</v>
      </c>
      <c r="J146" t="n">
        <v>0</v>
      </c>
      <c r="K146" t="n">
        <v>0</v>
      </c>
      <c r="L146" t="n">
        <v>0</v>
      </c>
      <c r="M146" t="n">
        <v>0</v>
      </c>
      <c r="N146" t="n">
        <v>0</v>
      </c>
      <c r="O146" t="n">
        <v>0</v>
      </c>
      <c r="P146" t="n">
        <v>0</v>
      </c>
      <c r="Q146" t="n">
        <v>0</v>
      </c>
      <c r="R146" s="2" t="inlineStr"/>
    </row>
    <row r="147" ht="15" customHeight="1">
      <c r="A147" t="inlineStr">
        <is>
          <t>A 40065-2021</t>
        </is>
      </c>
      <c r="B147" s="1" t="n">
        <v>44418</v>
      </c>
      <c r="C147" s="1" t="n">
        <v>46200</v>
      </c>
      <c r="D147" t="inlineStr">
        <is>
          <t>VÄSTRA GÖTALANDS LÄN</t>
        </is>
      </c>
      <c r="E147" t="inlineStr">
        <is>
          <t>FALKÖPING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6337-2025</t>
        </is>
      </c>
      <c r="B148" s="1" t="n">
        <v>45698</v>
      </c>
      <c r="C148" s="1" t="n">
        <v>46200</v>
      </c>
      <c r="D148" t="inlineStr">
        <is>
          <t>VÄSTRA GÖTALANDS LÄN</t>
        </is>
      </c>
      <c r="E148" t="inlineStr">
        <is>
          <t>FALKÖPING</t>
        </is>
      </c>
      <c r="G148" t="n">
        <v>6.8</v>
      </c>
      <c r="H148" t="n">
        <v>0</v>
      </c>
      <c r="I148" t="n">
        <v>0</v>
      </c>
      <c r="J148" t="n">
        <v>0</v>
      </c>
      <c r="K148" t="n">
        <v>0</v>
      </c>
      <c r="L148" t="n">
        <v>0</v>
      </c>
      <c r="M148" t="n">
        <v>0</v>
      </c>
      <c r="N148" t="n">
        <v>0</v>
      </c>
      <c r="O148" t="n">
        <v>0</v>
      </c>
      <c r="P148" t="n">
        <v>0</v>
      </c>
      <c r="Q148" t="n">
        <v>0</v>
      </c>
      <c r="R148" s="2" t="inlineStr"/>
    </row>
    <row r="149" ht="15" customHeight="1">
      <c r="A149" t="inlineStr">
        <is>
          <t>A 45667-2023</t>
        </is>
      </c>
      <c r="B149" s="1" t="n">
        <v>45194</v>
      </c>
      <c r="C149" s="1" t="n">
        <v>46200</v>
      </c>
      <c r="D149" t="inlineStr">
        <is>
          <t>VÄSTRA GÖTALANDS LÄN</t>
        </is>
      </c>
      <c r="E149" t="inlineStr">
        <is>
          <t>FALKÖPING</t>
        </is>
      </c>
      <c r="G149" t="n">
        <v>1.7</v>
      </c>
      <c r="H149" t="n">
        <v>0</v>
      </c>
      <c r="I149" t="n">
        <v>0</v>
      </c>
      <c r="J149" t="n">
        <v>0</v>
      </c>
      <c r="K149" t="n">
        <v>0</v>
      </c>
      <c r="L149" t="n">
        <v>0</v>
      </c>
      <c r="M149" t="n">
        <v>0</v>
      </c>
      <c r="N149" t="n">
        <v>0</v>
      </c>
      <c r="O149" t="n">
        <v>0</v>
      </c>
      <c r="P149" t="n">
        <v>0</v>
      </c>
      <c r="Q149" t="n">
        <v>0</v>
      </c>
      <c r="R149" s="2" t="inlineStr"/>
    </row>
    <row r="150" ht="15" customHeight="1">
      <c r="A150" t="inlineStr">
        <is>
          <t>A 6952-2024</t>
        </is>
      </c>
      <c r="B150" s="1" t="n">
        <v>45343</v>
      </c>
      <c r="C150" s="1" t="n">
        <v>46200</v>
      </c>
      <c r="D150" t="inlineStr">
        <is>
          <t>VÄSTRA GÖTALANDS LÄN</t>
        </is>
      </c>
      <c r="E150" t="inlineStr">
        <is>
          <t>FALKÖPING</t>
        </is>
      </c>
      <c r="G150" t="n">
        <v>2.6</v>
      </c>
      <c r="H150" t="n">
        <v>0</v>
      </c>
      <c r="I150" t="n">
        <v>0</v>
      </c>
      <c r="J150" t="n">
        <v>0</v>
      </c>
      <c r="K150" t="n">
        <v>0</v>
      </c>
      <c r="L150" t="n">
        <v>0</v>
      </c>
      <c r="M150" t="n">
        <v>0</v>
      </c>
      <c r="N150" t="n">
        <v>0</v>
      </c>
      <c r="O150" t="n">
        <v>0</v>
      </c>
      <c r="P150" t="n">
        <v>0</v>
      </c>
      <c r="Q150" t="n">
        <v>0</v>
      </c>
      <c r="R150" s="2" t="inlineStr"/>
    </row>
    <row r="151" ht="15" customHeight="1">
      <c r="A151" t="inlineStr">
        <is>
          <t>A 39233-2024</t>
        </is>
      </c>
      <c r="B151" s="1" t="n">
        <v>45550</v>
      </c>
      <c r="C151" s="1" t="n">
        <v>46200</v>
      </c>
      <c r="D151" t="inlineStr">
        <is>
          <t>VÄSTRA GÖTALANDS LÄN</t>
        </is>
      </c>
      <c r="E151" t="inlineStr">
        <is>
          <t>FALKÖPING</t>
        </is>
      </c>
      <c r="G151" t="n">
        <v>1.2</v>
      </c>
      <c r="H151" t="n">
        <v>0</v>
      </c>
      <c r="I151" t="n">
        <v>0</v>
      </c>
      <c r="J151" t="n">
        <v>0</v>
      </c>
      <c r="K151" t="n">
        <v>0</v>
      </c>
      <c r="L151" t="n">
        <v>0</v>
      </c>
      <c r="M151" t="n">
        <v>0</v>
      </c>
      <c r="N151" t="n">
        <v>0</v>
      </c>
      <c r="O151" t="n">
        <v>0</v>
      </c>
      <c r="P151" t="n">
        <v>0</v>
      </c>
      <c r="Q151" t="n">
        <v>0</v>
      </c>
      <c r="R151" s="2" t="inlineStr"/>
    </row>
    <row r="152" ht="15" customHeight="1">
      <c r="A152" t="inlineStr">
        <is>
          <t>A 25085-2024</t>
        </is>
      </c>
      <c r="B152" s="1" t="n">
        <v>45462</v>
      </c>
      <c r="C152" s="1" t="n">
        <v>46200</v>
      </c>
      <c r="D152" t="inlineStr">
        <is>
          <t>VÄSTRA GÖTALANDS LÄN</t>
        </is>
      </c>
      <c r="E152" t="inlineStr">
        <is>
          <t>FALKÖPING</t>
        </is>
      </c>
      <c r="G152" t="n">
        <v>3.2</v>
      </c>
      <c r="H152" t="n">
        <v>0</v>
      </c>
      <c r="I152" t="n">
        <v>0</v>
      </c>
      <c r="J152" t="n">
        <v>0</v>
      </c>
      <c r="K152" t="n">
        <v>0</v>
      </c>
      <c r="L152" t="n">
        <v>0</v>
      </c>
      <c r="M152" t="n">
        <v>0</v>
      </c>
      <c r="N152" t="n">
        <v>0</v>
      </c>
      <c r="O152" t="n">
        <v>0</v>
      </c>
      <c r="P152" t="n">
        <v>0</v>
      </c>
      <c r="Q152" t="n">
        <v>0</v>
      </c>
      <c r="R152" s="2" t="inlineStr"/>
    </row>
    <row r="153" ht="15" customHeight="1">
      <c r="A153" t="inlineStr">
        <is>
          <t>A 5487-2024</t>
        </is>
      </c>
      <c r="B153" s="1" t="n">
        <v>45334</v>
      </c>
      <c r="C153" s="1" t="n">
        <v>46200</v>
      </c>
      <c r="D153" t="inlineStr">
        <is>
          <t>VÄSTRA GÖTALANDS LÄN</t>
        </is>
      </c>
      <c r="E153" t="inlineStr">
        <is>
          <t>FALKÖPING</t>
        </is>
      </c>
      <c r="G153" t="n">
        <v>4.2</v>
      </c>
      <c r="H153" t="n">
        <v>0</v>
      </c>
      <c r="I153" t="n">
        <v>0</v>
      </c>
      <c r="J153" t="n">
        <v>0</v>
      </c>
      <c r="K153" t="n">
        <v>0</v>
      </c>
      <c r="L153" t="n">
        <v>0</v>
      </c>
      <c r="M153" t="n">
        <v>0</v>
      </c>
      <c r="N153" t="n">
        <v>0</v>
      </c>
      <c r="O153" t="n">
        <v>0</v>
      </c>
      <c r="P153" t="n">
        <v>0</v>
      </c>
      <c r="Q153" t="n">
        <v>0</v>
      </c>
      <c r="R153" s="2" t="inlineStr"/>
    </row>
    <row r="154" ht="15" customHeight="1">
      <c r="A154" t="inlineStr">
        <is>
          <t>A 52886-2023</t>
        </is>
      </c>
      <c r="B154" s="1" t="n">
        <v>45226</v>
      </c>
      <c r="C154" s="1" t="n">
        <v>46200</v>
      </c>
      <c r="D154" t="inlineStr">
        <is>
          <t>VÄSTRA GÖTALANDS LÄN</t>
        </is>
      </c>
      <c r="E154" t="inlineStr">
        <is>
          <t>FALKÖPING</t>
        </is>
      </c>
      <c r="G154" t="n">
        <v>0.9</v>
      </c>
      <c r="H154" t="n">
        <v>0</v>
      </c>
      <c r="I154" t="n">
        <v>0</v>
      </c>
      <c r="J154" t="n">
        <v>0</v>
      </c>
      <c r="K154" t="n">
        <v>0</v>
      </c>
      <c r="L154" t="n">
        <v>0</v>
      </c>
      <c r="M154" t="n">
        <v>0</v>
      </c>
      <c r="N154" t="n">
        <v>0</v>
      </c>
      <c r="O154" t="n">
        <v>0</v>
      </c>
      <c r="P154" t="n">
        <v>0</v>
      </c>
      <c r="Q154" t="n">
        <v>0</v>
      </c>
      <c r="R154" s="2" t="inlineStr"/>
    </row>
    <row r="155" ht="15" customHeight="1">
      <c r="A155" t="inlineStr">
        <is>
          <t>A 7895-2024</t>
        </is>
      </c>
      <c r="B155" s="1" t="n">
        <v>45350</v>
      </c>
      <c r="C155" s="1" t="n">
        <v>46200</v>
      </c>
      <c r="D155" t="inlineStr">
        <is>
          <t>VÄSTRA GÖTALANDS LÄN</t>
        </is>
      </c>
      <c r="E155" t="inlineStr">
        <is>
          <t>FALKÖPING</t>
        </is>
      </c>
      <c r="G155" t="n">
        <v>0.9</v>
      </c>
      <c r="H155" t="n">
        <v>0</v>
      </c>
      <c r="I155" t="n">
        <v>0</v>
      </c>
      <c r="J155" t="n">
        <v>0</v>
      </c>
      <c r="K155" t="n">
        <v>0</v>
      </c>
      <c r="L155" t="n">
        <v>0</v>
      </c>
      <c r="M155" t="n">
        <v>0</v>
      </c>
      <c r="N155" t="n">
        <v>0</v>
      </c>
      <c r="O155" t="n">
        <v>0</v>
      </c>
      <c r="P155" t="n">
        <v>0</v>
      </c>
      <c r="Q155" t="n">
        <v>0</v>
      </c>
      <c r="R155" s="2" t="inlineStr"/>
    </row>
    <row r="156" ht="15" customHeight="1">
      <c r="A156" t="inlineStr">
        <is>
          <t>A 46843-2023</t>
        </is>
      </c>
      <c r="B156" s="1" t="n">
        <v>45199</v>
      </c>
      <c r="C156" s="1" t="n">
        <v>46200</v>
      </c>
      <c r="D156" t="inlineStr">
        <is>
          <t>VÄSTRA GÖTALANDS LÄN</t>
        </is>
      </c>
      <c r="E156" t="inlineStr">
        <is>
          <t>FALKÖPING</t>
        </is>
      </c>
      <c r="G156" t="n">
        <v>1.6</v>
      </c>
      <c r="H156" t="n">
        <v>0</v>
      </c>
      <c r="I156" t="n">
        <v>0</v>
      </c>
      <c r="J156" t="n">
        <v>0</v>
      </c>
      <c r="K156" t="n">
        <v>0</v>
      </c>
      <c r="L156" t="n">
        <v>0</v>
      </c>
      <c r="M156" t="n">
        <v>0</v>
      </c>
      <c r="N156" t="n">
        <v>0</v>
      </c>
      <c r="O156" t="n">
        <v>0</v>
      </c>
      <c r="P156" t="n">
        <v>0</v>
      </c>
      <c r="Q156" t="n">
        <v>0</v>
      </c>
      <c r="R156" s="2" t="inlineStr"/>
    </row>
    <row r="157" ht="15" customHeight="1">
      <c r="A157" t="inlineStr">
        <is>
          <t>A 49390-2022</t>
        </is>
      </c>
      <c r="B157" s="1" t="n">
        <v>44861</v>
      </c>
      <c r="C157" s="1" t="n">
        <v>46200</v>
      </c>
      <c r="D157" t="inlineStr">
        <is>
          <t>VÄSTRA GÖTALANDS LÄN</t>
        </is>
      </c>
      <c r="E157" t="inlineStr">
        <is>
          <t>FALKÖPING</t>
        </is>
      </c>
      <c r="G157" t="n">
        <v>2.2</v>
      </c>
      <c r="H157" t="n">
        <v>0</v>
      </c>
      <c r="I157" t="n">
        <v>0</v>
      </c>
      <c r="J157" t="n">
        <v>0</v>
      </c>
      <c r="K157" t="n">
        <v>0</v>
      </c>
      <c r="L157" t="n">
        <v>0</v>
      </c>
      <c r="M157" t="n">
        <v>0</v>
      </c>
      <c r="N157" t="n">
        <v>0</v>
      </c>
      <c r="O157" t="n">
        <v>0</v>
      </c>
      <c r="P157" t="n">
        <v>0</v>
      </c>
      <c r="Q157" t="n">
        <v>0</v>
      </c>
      <c r="R157" s="2" t="inlineStr"/>
    </row>
    <row r="158" ht="15" customHeight="1">
      <c r="A158" t="inlineStr">
        <is>
          <t>A 1456-2022</t>
        </is>
      </c>
      <c r="B158" s="1" t="n">
        <v>44573</v>
      </c>
      <c r="C158" s="1" t="n">
        <v>46200</v>
      </c>
      <c r="D158" t="inlineStr">
        <is>
          <t>VÄSTRA GÖTALANDS LÄN</t>
        </is>
      </c>
      <c r="E158" t="inlineStr">
        <is>
          <t>FALKÖPING</t>
        </is>
      </c>
      <c r="F158" t="inlineStr">
        <is>
          <t>Naturvårdsverket</t>
        </is>
      </c>
      <c r="G158" t="n">
        <v>1.3</v>
      </c>
      <c r="H158" t="n">
        <v>0</v>
      </c>
      <c r="I158" t="n">
        <v>0</v>
      </c>
      <c r="J158" t="n">
        <v>0</v>
      </c>
      <c r="K158" t="n">
        <v>0</v>
      </c>
      <c r="L158" t="n">
        <v>0</v>
      </c>
      <c r="M158" t="n">
        <v>0</v>
      </c>
      <c r="N158" t="n">
        <v>0</v>
      </c>
      <c r="O158" t="n">
        <v>0</v>
      </c>
      <c r="P158" t="n">
        <v>0</v>
      </c>
      <c r="Q158" t="n">
        <v>0</v>
      </c>
      <c r="R158" s="2" t="inlineStr"/>
    </row>
    <row r="159" ht="15" customHeight="1">
      <c r="A159" t="inlineStr">
        <is>
          <t>A 42838-2022</t>
        </is>
      </c>
      <c r="B159" s="1" t="n">
        <v>44832</v>
      </c>
      <c r="C159" s="1" t="n">
        <v>46200</v>
      </c>
      <c r="D159" t="inlineStr">
        <is>
          <t>VÄSTRA GÖTALANDS LÄN</t>
        </is>
      </c>
      <c r="E159" t="inlineStr">
        <is>
          <t>FALKÖPING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10929-2024</t>
        </is>
      </c>
      <c r="B160" s="1" t="n">
        <v>45370</v>
      </c>
      <c r="C160" s="1" t="n">
        <v>46200</v>
      </c>
      <c r="D160" t="inlineStr">
        <is>
          <t>VÄSTRA GÖTALANDS LÄN</t>
        </is>
      </c>
      <c r="E160" t="inlineStr">
        <is>
          <t>FALKÖPING</t>
        </is>
      </c>
      <c r="G160" t="n">
        <v>1.8</v>
      </c>
      <c r="H160" t="n">
        <v>0</v>
      </c>
      <c r="I160" t="n">
        <v>0</v>
      </c>
      <c r="J160" t="n">
        <v>0</v>
      </c>
      <c r="K160" t="n">
        <v>0</v>
      </c>
      <c r="L160" t="n">
        <v>0</v>
      </c>
      <c r="M160" t="n">
        <v>0</v>
      </c>
      <c r="N160" t="n">
        <v>0</v>
      </c>
      <c r="O160" t="n">
        <v>0</v>
      </c>
      <c r="P160" t="n">
        <v>0</v>
      </c>
      <c r="Q160" t="n">
        <v>0</v>
      </c>
      <c r="R160" s="2" t="inlineStr"/>
    </row>
    <row r="161" ht="15" customHeight="1">
      <c r="A161" t="inlineStr">
        <is>
          <t>A 52420-2024</t>
        </is>
      </c>
      <c r="B161" s="1" t="n">
        <v>45609</v>
      </c>
      <c r="C161" s="1" t="n">
        <v>46200</v>
      </c>
      <c r="D161" t="inlineStr">
        <is>
          <t>VÄSTRA GÖTALANDS LÄN</t>
        </is>
      </c>
      <c r="E161" t="inlineStr">
        <is>
          <t>FALKÖPING</t>
        </is>
      </c>
      <c r="G161" t="n">
        <v>2</v>
      </c>
      <c r="H161" t="n">
        <v>0</v>
      </c>
      <c r="I161" t="n">
        <v>0</v>
      </c>
      <c r="J161" t="n">
        <v>0</v>
      </c>
      <c r="K161" t="n">
        <v>0</v>
      </c>
      <c r="L161" t="n">
        <v>0</v>
      </c>
      <c r="M161" t="n">
        <v>0</v>
      </c>
      <c r="N161" t="n">
        <v>0</v>
      </c>
      <c r="O161" t="n">
        <v>0</v>
      </c>
      <c r="P161" t="n">
        <v>0</v>
      </c>
      <c r="Q161" t="n">
        <v>0</v>
      </c>
      <c r="R161" s="2" t="inlineStr"/>
    </row>
    <row r="162" ht="15" customHeight="1">
      <c r="A162" t="inlineStr">
        <is>
          <t>A 49332-2024</t>
        </is>
      </c>
      <c r="B162" s="1" t="n">
        <v>45595</v>
      </c>
      <c r="C162" s="1" t="n">
        <v>46200</v>
      </c>
      <c r="D162" t="inlineStr">
        <is>
          <t>VÄSTRA GÖTALANDS LÄN</t>
        </is>
      </c>
      <c r="E162" t="inlineStr">
        <is>
          <t>FALKÖPING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40375-2023</t>
        </is>
      </c>
      <c r="B163" s="1" t="n">
        <v>45169</v>
      </c>
      <c r="C163" s="1" t="n">
        <v>46200</v>
      </c>
      <c r="D163" t="inlineStr">
        <is>
          <t>VÄSTRA GÖTALANDS LÄN</t>
        </is>
      </c>
      <c r="E163" t="inlineStr">
        <is>
          <t>FALKÖPING</t>
        </is>
      </c>
      <c r="G163" t="n">
        <v>2.7</v>
      </c>
      <c r="H163" t="n">
        <v>0</v>
      </c>
      <c r="I163" t="n">
        <v>0</v>
      </c>
      <c r="J163" t="n">
        <v>0</v>
      </c>
      <c r="K163" t="n">
        <v>0</v>
      </c>
      <c r="L163" t="n">
        <v>0</v>
      </c>
      <c r="M163" t="n">
        <v>0</v>
      </c>
      <c r="N163" t="n">
        <v>0</v>
      </c>
      <c r="O163" t="n">
        <v>0</v>
      </c>
      <c r="P163" t="n">
        <v>0</v>
      </c>
      <c r="Q163" t="n">
        <v>0</v>
      </c>
      <c r="R163" s="2" t="inlineStr"/>
    </row>
    <row r="164" ht="15" customHeight="1">
      <c r="A164" t="inlineStr">
        <is>
          <t>A 5264-2022</t>
        </is>
      </c>
      <c r="B164" s="1" t="n">
        <v>44594</v>
      </c>
      <c r="C164" s="1" t="n">
        <v>46200</v>
      </c>
      <c r="D164" t="inlineStr">
        <is>
          <t>VÄSTRA GÖTALANDS LÄN</t>
        </is>
      </c>
      <c r="E164" t="inlineStr">
        <is>
          <t>FALKÖPING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28473-2022</t>
        </is>
      </c>
      <c r="B165" s="1" t="n">
        <v>44747</v>
      </c>
      <c r="C165" s="1" t="n">
        <v>46200</v>
      </c>
      <c r="D165" t="inlineStr">
        <is>
          <t>VÄSTRA GÖTALANDS LÄN</t>
        </is>
      </c>
      <c r="E165" t="inlineStr">
        <is>
          <t>FALKÖPING</t>
        </is>
      </c>
      <c r="G165" t="n">
        <v>6.5</v>
      </c>
      <c r="H165" t="n">
        <v>0</v>
      </c>
      <c r="I165" t="n">
        <v>0</v>
      </c>
      <c r="J165" t="n">
        <v>0</v>
      </c>
      <c r="K165" t="n">
        <v>0</v>
      </c>
      <c r="L165" t="n">
        <v>0</v>
      </c>
      <c r="M165" t="n">
        <v>0</v>
      </c>
      <c r="N165" t="n">
        <v>0</v>
      </c>
      <c r="O165" t="n">
        <v>0</v>
      </c>
      <c r="P165" t="n">
        <v>0</v>
      </c>
      <c r="Q165" t="n">
        <v>0</v>
      </c>
      <c r="R165" s="2" t="inlineStr"/>
    </row>
    <row r="166" ht="15" customHeight="1">
      <c r="A166" t="inlineStr">
        <is>
          <t>A 47562-2023</t>
        </is>
      </c>
      <c r="B166" s="1" t="n">
        <v>45203</v>
      </c>
      <c r="C166" s="1" t="n">
        <v>46200</v>
      </c>
      <c r="D166" t="inlineStr">
        <is>
          <t>VÄSTRA GÖTALANDS LÄN</t>
        </is>
      </c>
      <c r="E166" t="inlineStr">
        <is>
          <t>FALKÖPING</t>
        </is>
      </c>
      <c r="G166" t="n">
        <v>2.7</v>
      </c>
      <c r="H166" t="n">
        <v>0</v>
      </c>
      <c r="I166" t="n">
        <v>0</v>
      </c>
      <c r="J166" t="n">
        <v>0</v>
      </c>
      <c r="K166" t="n">
        <v>0</v>
      </c>
      <c r="L166" t="n">
        <v>0</v>
      </c>
      <c r="M166" t="n">
        <v>0</v>
      </c>
      <c r="N166" t="n">
        <v>0</v>
      </c>
      <c r="O166" t="n">
        <v>0</v>
      </c>
      <c r="P166" t="n">
        <v>0</v>
      </c>
      <c r="Q166" t="n">
        <v>0</v>
      </c>
      <c r="R166" s="2" t="inlineStr"/>
    </row>
    <row r="167" ht="15" customHeight="1">
      <c r="A167" t="inlineStr">
        <is>
          <t>A 41079-2024</t>
        </is>
      </c>
      <c r="B167" s="1" t="n">
        <v>45559</v>
      </c>
      <c r="C167" s="1" t="n">
        <v>46200</v>
      </c>
      <c r="D167" t="inlineStr">
        <is>
          <t>VÄSTRA GÖTALANDS LÄN</t>
        </is>
      </c>
      <c r="E167" t="inlineStr">
        <is>
          <t>FALKÖPING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6945-2024</t>
        </is>
      </c>
      <c r="B168" s="1" t="n">
        <v>45343</v>
      </c>
      <c r="C168" s="1" t="n">
        <v>46200</v>
      </c>
      <c r="D168" t="inlineStr">
        <is>
          <t>VÄSTRA GÖTALANDS LÄN</t>
        </is>
      </c>
      <c r="E168" t="inlineStr">
        <is>
          <t>FALKÖPING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9008-2023</t>
        </is>
      </c>
      <c r="B169" s="1" t="n">
        <v>44979</v>
      </c>
      <c r="C169" s="1" t="n">
        <v>46200</v>
      </c>
      <c r="D169" t="inlineStr">
        <is>
          <t>VÄSTRA GÖTALANDS LÄN</t>
        </is>
      </c>
      <c r="E169" t="inlineStr">
        <is>
          <t>FALKÖPING</t>
        </is>
      </c>
      <c r="F169" t="inlineStr">
        <is>
          <t>Övriga Aktiebolag</t>
        </is>
      </c>
      <c r="G169" t="n">
        <v>3.5</v>
      </c>
      <c r="H169" t="n">
        <v>0</v>
      </c>
      <c r="I169" t="n">
        <v>0</v>
      </c>
      <c r="J169" t="n">
        <v>0</v>
      </c>
      <c r="K169" t="n">
        <v>0</v>
      </c>
      <c r="L169" t="n">
        <v>0</v>
      </c>
      <c r="M169" t="n">
        <v>0</v>
      </c>
      <c r="N169" t="n">
        <v>0</v>
      </c>
      <c r="O169" t="n">
        <v>0</v>
      </c>
      <c r="P169" t="n">
        <v>0</v>
      </c>
      <c r="Q169" t="n">
        <v>0</v>
      </c>
      <c r="R169" s="2" t="inlineStr"/>
    </row>
    <row r="170" ht="15" customHeight="1">
      <c r="A170" t="inlineStr">
        <is>
          <t>A 32186-2024</t>
        </is>
      </c>
      <c r="B170" s="1" t="n">
        <v>45511</v>
      </c>
      <c r="C170" s="1" t="n">
        <v>46200</v>
      </c>
      <c r="D170" t="inlineStr">
        <is>
          <t>VÄSTRA GÖTALANDS LÄN</t>
        </is>
      </c>
      <c r="E170" t="inlineStr">
        <is>
          <t>FALKÖPING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42416-2023</t>
        </is>
      </c>
      <c r="B171" s="1" t="n">
        <v>45180</v>
      </c>
      <c r="C171" s="1" t="n">
        <v>46200</v>
      </c>
      <c r="D171" t="inlineStr">
        <is>
          <t>VÄSTRA GÖTALANDS LÄN</t>
        </is>
      </c>
      <c r="E171" t="inlineStr">
        <is>
          <t>FALKÖPING</t>
        </is>
      </c>
      <c r="G171" t="n">
        <v>5.1</v>
      </c>
      <c r="H171" t="n">
        <v>0</v>
      </c>
      <c r="I171" t="n">
        <v>0</v>
      </c>
      <c r="J171" t="n">
        <v>0</v>
      </c>
      <c r="K171" t="n">
        <v>0</v>
      </c>
      <c r="L171" t="n">
        <v>0</v>
      </c>
      <c r="M171" t="n">
        <v>0</v>
      </c>
      <c r="N171" t="n">
        <v>0</v>
      </c>
      <c r="O171" t="n">
        <v>0</v>
      </c>
      <c r="P171" t="n">
        <v>0</v>
      </c>
      <c r="Q171" t="n">
        <v>0</v>
      </c>
      <c r="R171" s="2" t="inlineStr"/>
    </row>
    <row r="172" ht="15" customHeight="1">
      <c r="A172" t="inlineStr">
        <is>
          <t>A 30443-2023</t>
        </is>
      </c>
      <c r="B172" s="1" t="n">
        <v>45111</v>
      </c>
      <c r="C172" s="1" t="n">
        <v>46200</v>
      </c>
      <c r="D172" t="inlineStr">
        <is>
          <t>VÄSTRA GÖTALANDS LÄN</t>
        </is>
      </c>
      <c r="E172" t="inlineStr">
        <is>
          <t>FALKÖPING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11280-2022</t>
        </is>
      </c>
      <c r="B173" s="1" t="n">
        <v>44629</v>
      </c>
      <c r="C173" s="1" t="n">
        <v>46200</v>
      </c>
      <c r="D173" t="inlineStr">
        <is>
          <t>VÄSTRA GÖTALANDS LÄN</t>
        </is>
      </c>
      <c r="E173" t="inlineStr">
        <is>
          <t>FALKÖPING</t>
        </is>
      </c>
      <c r="G173" t="n">
        <v>4.1</v>
      </c>
      <c r="H173" t="n">
        <v>0</v>
      </c>
      <c r="I173" t="n">
        <v>0</v>
      </c>
      <c r="J173" t="n">
        <v>0</v>
      </c>
      <c r="K173" t="n">
        <v>0</v>
      </c>
      <c r="L173" t="n">
        <v>0</v>
      </c>
      <c r="M173" t="n">
        <v>0</v>
      </c>
      <c r="N173" t="n">
        <v>0</v>
      </c>
      <c r="O173" t="n">
        <v>0</v>
      </c>
      <c r="P173" t="n">
        <v>0</v>
      </c>
      <c r="Q173" t="n">
        <v>0</v>
      </c>
      <c r="R173" s="2" t="inlineStr"/>
    </row>
    <row r="174" ht="15" customHeight="1">
      <c r="A174" t="inlineStr">
        <is>
          <t>A 35819-2023</t>
        </is>
      </c>
      <c r="B174" s="1" t="n">
        <v>45148</v>
      </c>
      <c r="C174" s="1" t="n">
        <v>46200</v>
      </c>
      <c r="D174" t="inlineStr">
        <is>
          <t>VÄSTRA GÖTALANDS LÄN</t>
        </is>
      </c>
      <c r="E174" t="inlineStr">
        <is>
          <t>FALKÖPING</t>
        </is>
      </c>
      <c r="G174" t="n">
        <v>2</v>
      </c>
      <c r="H174" t="n">
        <v>0</v>
      </c>
      <c r="I174" t="n">
        <v>0</v>
      </c>
      <c r="J174" t="n">
        <v>0</v>
      </c>
      <c r="K174" t="n">
        <v>0</v>
      </c>
      <c r="L174" t="n">
        <v>0</v>
      </c>
      <c r="M174" t="n">
        <v>0</v>
      </c>
      <c r="N174" t="n">
        <v>0</v>
      </c>
      <c r="O174" t="n">
        <v>0</v>
      </c>
      <c r="P174" t="n">
        <v>0</v>
      </c>
      <c r="Q174" t="n">
        <v>0</v>
      </c>
      <c r="R174" s="2" t="inlineStr"/>
    </row>
    <row r="175" ht="15" customHeight="1">
      <c r="A175" t="inlineStr">
        <is>
          <t>A 57923-2023</t>
        </is>
      </c>
      <c r="B175" s="1" t="n">
        <v>45244</v>
      </c>
      <c r="C175" s="1" t="n">
        <v>46200</v>
      </c>
      <c r="D175" t="inlineStr">
        <is>
          <t>VÄSTRA GÖTALANDS LÄN</t>
        </is>
      </c>
      <c r="E175" t="inlineStr">
        <is>
          <t>FALKÖPING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58717-2021</t>
        </is>
      </c>
      <c r="B176" s="1" t="n">
        <v>44489</v>
      </c>
      <c r="C176" s="1" t="n">
        <v>46200</v>
      </c>
      <c r="D176" t="inlineStr">
        <is>
          <t>VÄSTRA GÖTALANDS LÄN</t>
        </is>
      </c>
      <c r="E176" t="inlineStr">
        <is>
          <t>FALKÖPING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39514-2024</t>
        </is>
      </c>
      <c r="B177" s="1" t="n">
        <v>45551</v>
      </c>
      <c r="C177" s="1" t="n">
        <v>46200</v>
      </c>
      <c r="D177" t="inlineStr">
        <is>
          <t>VÄSTRA GÖTALANDS LÄN</t>
        </is>
      </c>
      <c r="E177" t="inlineStr">
        <is>
          <t>FALKÖPING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16939-2023</t>
        </is>
      </c>
      <c r="B178" s="1" t="n">
        <v>45033</v>
      </c>
      <c r="C178" s="1" t="n">
        <v>46200</v>
      </c>
      <c r="D178" t="inlineStr">
        <is>
          <t>VÄSTRA GÖTALANDS LÄN</t>
        </is>
      </c>
      <c r="E178" t="inlineStr">
        <is>
          <t>FALKÖPING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44004-2022</t>
        </is>
      </c>
      <c r="B179" s="1" t="n">
        <v>44838</v>
      </c>
      <c r="C179" s="1" t="n">
        <v>46200</v>
      </c>
      <c r="D179" t="inlineStr">
        <is>
          <t>VÄSTRA GÖTALANDS LÄN</t>
        </is>
      </c>
      <c r="E179" t="inlineStr">
        <is>
          <t>FALKÖPING</t>
        </is>
      </c>
      <c r="G179" t="n">
        <v>1.4</v>
      </c>
      <c r="H179" t="n">
        <v>0</v>
      </c>
      <c r="I179" t="n">
        <v>0</v>
      </c>
      <c r="J179" t="n">
        <v>0</v>
      </c>
      <c r="K179" t="n">
        <v>0</v>
      </c>
      <c r="L179" t="n">
        <v>0</v>
      </c>
      <c r="M179" t="n">
        <v>0</v>
      </c>
      <c r="N179" t="n">
        <v>0</v>
      </c>
      <c r="O179" t="n">
        <v>0</v>
      </c>
      <c r="P179" t="n">
        <v>0</v>
      </c>
      <c r="Q179" t="n">
        <v>0</v>
      </c>
      <c r="R179" s="2" t="inlineStr"/>
    </row>
    <row r="180" ht="15" customHeight="1">
      <c r="A180" t="inlineStr">
        <is>
          <t>A 63470-2023</t>
        </is>
      </c>
      <c r="B180" s="1" t="n">
        <v>45274</v>
      </c>
      <c r="C180" s="1" t="n">
        <v>46200</v>
      </c>
      <c r="D180" t="inlineStr">
        <is>
          <t>VÄSTRA GÖTALANDS LÄN</t>
        </is>
      </c>
      <c r="E180" t="inlineStr">
        <is>
          <t>FALKÖPING</t>
        </is>
      </c>
      <c r="G180" t="n">
        <v>4.5</v>
      </c>
      <c r="H180" t="n">
        <v>0</v>
      </c>
      <c r="I180" t="n">
        <v>0</v>
      </c>
      <c r="J180" t="n">
        <v>0</v>
      </c>
      <c r="K180" t="n">
        <v>0</v>
      </c>
      <c r="L180" t="n">
        <v>0</v>
      </c>
      <c r="M180" t="n">
        <v>0</v>
      </c>
      <c r="N180" t="n">
        <v>0</v>
      </c>
      <c r="O180" t="n">
        <v>0</v>
      </c>
      <c r="P180" t="n">
        <v>0</v>
      </c>
      <c r="Q180" t="n">
        <v>0</v>
      </c>
      <c r="R180" s="2" t="inlineStr"/>
    </row>
    <row r="181" ht="15" customHeight="1">
      <c r="A181" t="inlineStr">
        <is>
          <t>A 61857-2024</t>
        </is>
      </c>
      <c r="B181" s="1" t="n">
        <v>45649</v>
      </c>
      <c r="C181" s="1" t="n">
        <v>46200</v>
      </c>
      <c r="D181" t="inlineStr">
        <is>
          <t>VÄSTRA GÖTALANDS LÄN</t>
        </is>
      </c>
      <c r="E181" t="inlineStr">
        <is>
          <t>FALKÖPING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36911-2022</t>
        </is>
      </c>
      <c r="B182" s="1" t="n">
        <v>44805</v>
      </c>
      <c r="C182" s="1" t="n">
        <v>46200</v>
      </c>
      <c r="D182" t="inlineStr">
        <is>
          <t>VÄSTRA GÖTALANDS LÄN</t>
        </is>
      </c>
      <c r="E182" t="inlineStr">
        <is>
          <t>FALKÖPING</t>
        </is>
      </c>
      <c r="G182" t="n">
        <v>6.6</v>
      </c>
      <c r="H182" t="n">
        <v>0</v>
      </c>
      <c r="I182" t="n">
        <v>0</v>
      </c>
      <c r="J182" t="n">
        <v>0</v>
      </c>
      <c r="K182" t="n">
        <v>0</v>
      </c>
      <c r="L182" t="n">
        <v>0</v>
      </c>
      <c r="M182" t="n">
        <v>0</v>
      </c>
      <c r="N182" t="n">
        <v>0</v>
      </c>
      <c r="O182" t="n">
        <v>0</v>
      </c>
      <c r="P182" t="n">
        <v>0</v>
      </c>
      <c r="Q182" t="n">
        <v>0</v>
      </c>
      <c r="R182" s="2" t="inlineStr"/>
    </row>
    <row r="183" ht="15" customHeight="1">
      <c r="A183" t="inlineStr">
        <is>
          <t>A 37257-2024</t>
        </is>
      </c>
      <c r="B183" s="1" t="n">
        <v>45540</v>
      </c>
      <c r="C183" s="1" t="n">
        <v>46200</v>
      </c>
      <c r="D183" t="inlineStr">
        <is>
          <t>VÄSTRA GÖTALANDS LÄN</t>
        </is>
      </c>
      <c r="E183" t="inlineStr">
        <is>
          <t>FALKÖPING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37262-2024</t>
        </is>
      </c>
      <c r="B184" s="1" t="n">
        <v>45540</v>
      </c>
      <c r="C184" s="1" t="n">
        <v>46200</v>
      </c>
      <c r="D184" t="inlineStr">
        <is>
          <t>VÄSTRA GÖTALANDS LÄN</t>
        </is>
      </c>
      <c r="E184" t="inlineStr">
        <is>
          <t>FALKÖPING</t>
        </is>
      </c>
      <c r="G184" t="n">
        <v>2</v>
      </c>
      <c r="H184" t="n">
        <v>0</v>
      </c>
      <c r="I184" t="n">
        <v>0</v>
      </c>
      <c r="J184" t="n">
        <v>0</v>
      </c>
      <c r="K184" t="n">
        <v>0</v>
      </c>
      <c r="L184" t="n">
        <v>0</v>
      </c>
      <c r="M184" t="n">
        <v>0</v>
      </c>
      <c r="N184" t="n">
        <v>0</v>
      </c>
      <c r="O184" t="n">
        <v>0</v>
      </c>
      <c r="P184" t="n">
        <v>0</v>
      </c>
      <c r="Q184" t="n">
        <v>0</v>
      </c>
      <c r="R184" s="2" t="inlineStr"/>
    </row>
    <row r="185" ht="15" customHeight="1">
      <c r="A185" t="inlineStr">
        <is>
          <t>A 29718-2024</t>
        </is>
      </c>
      <c r="B185" s="1" t="n">
        <v>45485</v>
      </c>
      <c r="C185" s="1" t="n">
        <v>46200</v>
      </c>
      <c r="D185" t="inlineStr">
        <is>
          <t>VÄSTRA GÖTALANDS LÄN</t>
        </is>
      </c>
      <c r="E185" t="inlineStr">
        <is>
          <t>FALKÖPING</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62179-2022</t>
        </is>
      </c>
      <c r="B186" s="1" t="n">
        <v>44922</v>
      </c>
      <c r="C186" s="1" t="n">
        <v>46200</v>
      </c>
      <c r="D186" t="inlineStr">
        <is>
          <t>VÄSTRA GÖTALANDS LÄN</t>
        </is>
      </c>
      <c r="E186" t="inlineStr">
        <is>
          <t>FALKÖPING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51416-2021</t>
        </is>
      </c>
      <c r="B187" s="1" t="n">
        <v>44461</v>
      </c>
      <c r="C187" s="1" t="n">
        <v>46200</v>
      </c>
      <c r="D187" t="inlineStr">
        <is>
          <t>VÄSTRA GÖTALANDS LÄN</t>
        </is>
      </c>
      <c r="E187" t="inlineStr">
        <is>
          <t>FALKÖPING</t>
        </is>
      </c>
      <c r="G187" t="n">
        <v>1.6</v>
      </c>
      <c r="H187" t="n">
        <v>0</v>
      </c>
      <c r="I187" t="n">
        <v>0</v>
      </c>
      <c r="J187" t="n">
        <v>0</v>
      </c>
      <c r="K187" t="n">
        <v>0</v>
      </c>
      <c r="L187" t="n">
        <v>0</v>
      </c>
      <c r="M187" t="n">
        <v>0</v>
      </c>
      <c r="N187" t="n">
        <v>0</v>
      </c>
      <c r="O187" t="n">
        <v>0</v>
      </c>
      <c r="P187" t="n">
        <v>0</v>
      </c>
      <c r="Q187" t="n">
        <v>0</v>
      </c>
      <c r="R187" s="2" t="inlineStr"/>
    </row>
    <row r="188" ht="15" customHeight="1">
      <c r="A188" t="inlineStr">
        <is>
          <t>A 2639-2025</t>
        </is>
      </c>
      <c r="B188" s="1" t="n">
        <v>45675</v>
      </c>
      <c r="C188" s="1" t="n">
        <v>46200</v>
      </c>
      <c r="D188" t="inlineStr">
        <is>
          <t>VÄSTRA GÖTALANDS LÄN</t>
        </is>
      </c>
      <c r="E188" t="inlineStr">
        <is>
          <t>FALKÖPING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25071-2024</t>
        </is>
      </c>
      <c r="B189" s="1" t="n">
        <v>45462</v>
      </c>
      <c r="C189" s="1" t="n">
        <v>46200</v>
      </c>
      <c r="D189" t="inlineStr">
        <is>
          <t>VÄSTRA GÖTALANDS LÄN</t>
        </is>
      </c>
      <c r="E189" t="inlineStr">
        <is>
          <t>FALKÖPING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25075-2024</t>
        </is>
      </c>
      <c r="B190" s="1" t="n">
        <v>45462</v>
      </c>
      <c r="C190" s="1" t="n">
        <v>46200</v>
      </c>
      <c r="D190" t="inlineStr">
        <is>
          <t>VÄSTRA GÖTALANDS LÄN</t>
        </is>
      </c>
      <c r="E190" t="inlineStr">
        <is>
          <t>FALKÖPING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35450-2023</t>
        </is>
      </c>
      <c r="B191" s="1" t="n">
        <v>45146</v>
      </c>
      <c r="C191" s="1" t="n">
        <v>46200</v>
      </c>
      <c r="D191" t="inlineStr">
        <is>
          <t>VÄSTRA GÖTALANDS LÄN</t>
        </is>
      </c>
      <c r="E191" t="inlineStr">
        <is>
          <t>FALKÖPING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23710-2024</t>
        </is>
      </c>
      <c r="B192" s="1" t="n">
        <v>45454</v>
      </c>
      <c r="C192" s="1" t="n">
        <v>46200</v>
      </c>
      <c r="D192" t="inlineStr">
        <is>
          <t>VÄSTRA GÖTALANDS LÄN</t>
        </is>
      </c>
      <c r="E192" t="inlineStr">
        <is>
          <t>FALKÖPING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4436-2023</t>
        </is>
      </c>
      <c r="B193" s="1" t="n">
        <v>44952</v>
      </c>
      <c r="C193" s="1" t="n">
        <v>46200</v>
      </c>
      <c r="D193" t="inlineStr">
        <is>
          <t>VÄSTRA GÖTALANDS LÄN</t>
        </is>
      </c>
      <c r="E193" t="inlineStr">
        <is>
          <t>FALKÖPING</t>
        </is>
      </c>
      <c r="G193" t="n">
        <v>1.6</v>
      </c>
      <c r="H193" t="n">
        <v>0</v>
      </c>
      <c r="I193" t="n">
        <v>0</v>
      </c>
      <c r="J193" t="n">
        <v>0</v>
      </c>
      <c r="K193" t="n">
        <v>0</v>
      </c>
      <c r="L193" t="n">
        <v>0</v>
      </c>
      <c r="M193" t="n">
        <v>0</v>
      </c>
      <c r="N193" t="n">
        <v>0</v>
      </c>
      <c r="O193" t="n">
        <v>0</v>
      </c>
      <c r="P193" t="n">
        <v>0</v>
      </c>
      <c r="Q193" t="n">
        <v>0</v>
      </c>
      <c r="R193" s="2" t="inlineStr"/>
    </row>
    <row r="194" ht="15" customHeight="1">
      <c r="A194" t="inlineStr">
        <is>
          <t>A 20468-2025</t>
        </is>
      </c>
      <c r="B194" s="1" t="n">
        <v>45775</v>
      </c>
      <c r="C194" s="1" t="n">
        <v>46200</v>
      </c>
      <c r="D194" t="inlineStr">
        <is>
          <t>VÄSTRA GÖTALANDS LÄN</t>
        </is>
      </c>
      <c r="E194" t="inlineStr">
        <is>
          <t>FALKÖPING</t>
        </is>
      </c>
      <c r="G194" t="n">
        <v>1.9</v>
      </c>
      <c r="H194" t="n">
        <v>0</v>
      </c>
      <c r="I194" t="n">
        <v>0</v>
      </c>
      <c r="J194" t="n">
        <v>0</v>
      </c>
      <c r="K194" t="n">
        <v>0</v>
      </c>
      <c r="L194" t="n">
        <v>0</v>
      </c>
      <c r="M194" t="n">
        <v>0</v>
      </c>
      <c r="N194" t="n">
        <v>0</v>
      </c>
      <c r="O194" t="n">
        <v>0</v>
      </c>
      <c r="P194" t="n">
        <v>0</v>
      </c>
      <c r="Q194" t="n">
        <v>0</v>
      </c>
      <c r="R194" s="2" t="inlineStr"/>
    </row>
    <row r="195" ht="15" customHeight="1">
      <c r="A195" t="inlineStr">
        <is>
          <t>A 19470-2023</t>
        </is>
      </c>
      <c r="B195" s="1" t="n">
        <v>45050</v>
      </c>
      <c r="C195" s="1" t="n">
        <v>46200</v>
      </c>
      <c r="D195" t="inlineStr">
        <is>
          <t>VÄSTRA GÖTALANDS LÄN</t>
        </is>
      </c>
      <c r="E195" t="inlineStr">
        <is>
          <t>FALKÖPING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49429-2021</t>
        </is>
      </c>
      <c r="B196" s="1" t="n">
        <v>44454</v>
      </c>
      <c r="C196" s="1" t="n">
        <v>46200</v>
      </c>
      <c r="D196" t="inlineStr">
        <is>
          <t>VÄSTRA GÖTALANDS LÄN</t>
        </is>
      </c>
      <c r="E196" t="inlineStr">
        <is>
          <t>FALKÖPING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9168-2023</t>
        </is>
      </c>
      <c r="B197" s="1" t="n">
        <v>44980</v>
      </c>
      <c r="C197" s="1" t="n">
        <v>46200</v>
      </c>
      <c r="D197" t="inlineStr">
        <is>
          <t>VÄSTRA GÖTALANDS LÄN</t>
        </is>
      </c>
      <c r="E197" t="inlineStr">
        <is>
          <t>FALKÖPING</t>
        </is>
      </c>
      <c r="G197" t="n">
        <v>2.3</v>
      </c>
      <c r="H197" t="n">
        <v>0</v>
      </c>
      <c r="I197" t="n">
        <v>0</v>
      </c>
      <c r="J197" t="n">
        <v>0</v>
      </c>
      <c r="K197" t="n">
        <v>0</v>
      </c>
      <c r="L197" t="n">
        <v>0</v>
      </c>
      <c r="M197" t="n">
        <v>0</v>
      </c>
      <c r="N197" t="n">
        <v>0</v>
      </c>
      <c r="O197" t="n">
        <v>0</v>
      </c>
      <c r="P197" t="n">
        <v>0</v>
      </c>
      <c r="Q197" t="n">
        <v>0</v>
      </c>
      <c r="R197" s="2" t="inlineStr"/>
    </row>
    <row r="198" ht="15" customHeight="1">
      <c r="A198" t="inlineStr">
        <is>
          <t>A 38244-2022</t>
        </is>
      </c>
      <c r="B198" s="1" t="n">
        <v>44812</v>
      </c>
      <c r="C198" s="1" t="n">
        <v>46200</v>
      </c>
      <c r="D198" t="inlineStr">
        <is>
          <t>VÄSTRA GÖTALANDS LÄN</t>
        </is>
      </c>
      <c r="E198" t="inlineStr">
        <is>
          <t>FALKÖPING</t>
        </is>
      </c>
      <c r="G198" t="n">
        <v>4.5</v>
      </c>
      <c r="H198" t="n">
        <v>0</v>
      </c>
      <c r="I198" t="n">
        <v>0</v>
      </c>
      <c r="J198" t="n">
        <v>0</v>
      </c>
      <c r="K198" t="n">
        <v>0</v>
      </c>
      <c r="L198" t="n">
        <v>0</v>
      </c>
      <c r="M198" t="n">
        <v>0</v>
      </c>
      <c r="N198" t="n">
        <v>0</v>
      </c>
      <c r="O198" t="n">
        <v>0</v>
      </c>
      <c r="P198" t="n">
        <v>0</v>
      </c>
      <c r="Q198" t="n">
        <v>0</v>
      </c>
      <c r="R198" s="2" t="inlineStr"/>
    </row>
    <row r="199" ht="15" customHeight="1">
      <c r="A199" t="inlineStr">
        <is>
          <t>A 16661-2022</t>
        </is>
      </c>
      <c r="B199" s="1" t="n">
        <v>44672</v>
      </c>
      <c r="C199" s="1" t="n">
        <v>46200</v>
      </c>
      <c r="D199" t="inlineStr">
        <is>
          <t>VÄSTRA GÖTALANDS LÄN</t>
        </is>
      </c>
      <c r="E199" t="inlineStr">
        <is>
          <t>FALKÖPING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16942-2023</t>
        </is>
      </c>
      <c r="B200" s="1" t="n">
        <v>45033</v>
      </c>
      <c r="C200" s="1" t="n">
        <v>46200</v>
      </c>
      <c r="D200" t="inlineStr">
        <is>
          <t>VÄSTRA GÖTALANDS LÄN</t>
        </is>
      </c>
      <c r="E200" t="inlineStr">
        <is>
          <t>FALKÖPING</t>
        </is>
      </c>
      <c r="G200" t="n">
        <v>5.1</v>
      </c>
      <c r="H200" t="n">
        <v>0</v>
      </c>
      <c r="I200" t="n">
        <v>0</v>
      </c>
      <c r="J200" t="n">
        <v>0</v>
      </c>
      <c r="K200" t="n">
        <v>0</v>
      </c>
      <c r="L200" t="n">
        <v>0</v>
      </c>
      <c r="M200" t="n">
        <v>0</v>
      </c>
      <c r="N200" t="n">
        <v>0</v>
      </c>
      <c r="O200" t="n">
        <v>0</v>
      </c>
      <c r="P200" t="n">
        <v>0</v>
      </c>
      <c r="Q200" t="n">
        <v>0</v>
      </c>
      <c r="R200" s="2" t="inlineStr"/>
    </row>
    <row r="201" ht="15" customHeight="1">
      <c r="A201" t="inlineStr">
        <is>
          <t>A 4765-2022</t>
        </is>
      </c>
      <c r="B201" s="1" t="n">
        <v>44592</v>
      </c>
      <c r="C201" s="1" t="n">
        <v>46200</v>
      </c>
      <c r="D201" t="inlineStr">
        <is>
          <t>VÄSTRA GÖTALANDS LÄN</t>
        </is>
      </c>
      <c r="E201" t="inlineStr">
        <is>
          <t>FALKÖPING</t>
        </is>
      </c>
      <c r="G201" t="n">
        <v>5.5</v>
      </c>
      <c r="H201" t="n">
        <v>0</v>
      </c>
      <c r="I201" t="n">
        <v>0</v>
      </c>
      <c r="J201" t="n">
        <v>0</v>
      </c>
      <c r="K201" t="n">
        <v>0</v>
      </c>
      <c r="L201" t="n">
        <v>0</v>
      </c>
      <c r="M201" t="n">
        <v>0</v>
      </c>
      <c r="N201" t="n">
        <v>0</v>
      </c>
      <c r="O201" t="n">
        <v>0</v>
      </c>
      <c r="P201" t="n">
        <v>0</v>
      </c>
      <c r="Q201" t="n">
        <v>0</v>
      </c>
      <c r="R201" s="2" t="inlineStr"/>
    </row>
    <row r="202" ht="15" customHeight="1">
      <c r="A202" t="inlineStr">
        <is>
          <t>A 5228-2024</t>
        </is>
      </c>
      <c r="B202" s="1" t="n">
        <v>45330</v>
      </c>
      <c r="C202" s="1" t="n">
        <v>46200</v>
      </c>
      <c r="D202" t="inlineStr">
        <is>
          <t>VÄSTRA GÖTALANDS LÄN</t>
        </is>
      </c>
      <c r="E202" t="inlineStr">
        <is>
          <t>FALKÖPING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55739-2024</t>
        </is>
      </c>
      <c r="B203" s="1" t="n">
        <v>45623</v>
      </c>
      <c r="C203" s="1" t="n">
        <v>46200</v>
      </c>
      <c r="D203" t="inlineStr">
        <is>
          <t>VÄSTRA GÖTALANDS LÄN</t>
        </is>
      </c>
      <c r="E203" t="inlineStr">
        <is>
          <t>FALKÖPING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55312-2022</t>
        </is>
      </c>
      <c r="B204" s="1" t="n">
        <v>44882</v>
      </c>
      <c r="C204" s="1" t="n">
        <v>46200</v>
      </c>
      <c r="D204" t="inlineStr">
        <is>
          <t>VÄSTRA GÖTALANDS LÄN</t>
        </is>
      </c>
      <c r="E204" t="inlineStr">
        <is>
          <t>FALKÖPING</t>
        </is>
      </c>
      <c r="G204" t="n">
        <v>2.9</v>
      </c>
      <c r="H204" t="n">
        <v>0</v>
      </c>
      <c r="I204" t="n">
        <v>0</v>
      </c>
      <c r="J204" t="n">
        <v>0</v>
      </c>
      <c r="K204" t="n">
        <v>0</v>
      </c>
      <c r="L204" t="n">
        <v>0</v>
      </c>
      <c r="M204" t="n">
        <v>0</v>
      </c>
      <c r="N204" t="n">
        <v>0</v>
      </c>
      <c r="O204" t="n">
        <v>0</v>
      </c>
      <c r="P204" t="n">
        <v>0</v>
      </c>
      <c r="Q204" t="n">
        <v>0</v>
      </c>
      <c r="R204" s="2" t="inlineStr"/>
    </row>
    <row r="205" ht="15" customHeight="1">
      <c r="A205" t="inlineStr">
        <is>
          <t>A 54774-2023</t>
        </is>
      </c>
      <c r="B205" s="1" t="n">
        <v>45236</v>
      </c>
      <c r="C205" s="1" t="n">
        <v>46200</v>
      </c>
      <c r="D205" t="inlineStr">
        <is>
          <t>VÄSTRA GÖTALANDS LÄN</t>
        </is>
      </c>
      <c r="E205" t="inlineStr">
        <is>
          <t>FALKÖPING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15928-2023</t>
        </is>
      </c>
      <c r="B206" s="1" t="n">
        <v>45022</v>
      </c>
      <c r="C206" s="1" t="n">
        <v>46200</v>
      </c>
      <c r="D206" t="inlineStr">
        <is>
          <t>VÄSTRA GÖTALANDS LÄN</t>
        </is>
      </c>
      <c r="E206" t="inlineStr">
        <is>
          <t>FALKÖPING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27606-2023</t>
        </is>
      </c>
      <c r="B207" s="1" t="n">
        <v>45097</v>
      </c>
      <c r="C207" s="1" t="n">
        <v>46200</v>
      </c>
      <c r="D207" t="inlineStr">
        <is>
          <t>VÄSTRA GÖTALANDS LÄN</t>
        </is>
      </c>
      <c r="E207" t="inlineStr">
        <is>
          <t>FALKÖPING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47922-2023</t>
        </is>
      </c>
      <c r="B208" s="1" t="n">
        <v>45204</v>
      </c>
      <c r="C208" s="1" t="n">
        <v>46200</v>
      </c>
      <c r="D208" t="inlineStr">
        <is>
          <t>VÄSTRA GÖTALANDS LÄN</t>
        </is>
      </c>
      <c r="E208" t="inlineStr">
        <is>
          <t>FALKÖPING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60292-2023</t>
        </is>
      </c>
      <c r="B209" s="1" t="n">
        <v>45257</v>
      </c>
      <c r="C209" s="1" t="n">
        <v>46200</v>
      </c>
      <c r="D209" t="inlineStr">
        <is>
          <t>VÄSTRA GÖTALANDS LÄN</t>
        </is>
      </c>
      <c r="E209" t="inlineStr">
        <is>
          <t>FALKÖPING</t>
        </is>
      </c>
      <c r="G209" t="n">
        <v>10.3</v>
      </c>
      <c r="H209" t="n">
        <v>0</v>
      </c>
      <c r="I209" t="n">
        <v>0</v>
      </c>
      <c r="J209" t="n">
        <v>0</v>
      </c>
      <c r="K209" t="n">
        <v>0</v>
      </c>
      <c r="L209" t="n">
        <v>0</v>
      </c>
      <c r="M209" t="n">
        <v>0</v>
      </c>
      <c r="N209" t="n">
        <v>0</v>
      </c>
      <c r="O209" t="n">
        <v>0</v>
      </c>
      <c r="P209" t="n">
        <v>0</v>
      </c>
      <c r="Q209" t="n">
        <v>0</v>
      </c>
      <c r="R209" s="2" t="inlineStr"/>
    </row>
    <row r="210" ht="15" customHeight="1">
      <c r="A210" t="inlineStr">
        <is>
          <t>A 50720-2023</t>
        </is>
      </c>
      <c r="B210" s="1" t="n">
        <v>45217</v>
      </c>
      <c r="C210" s="1" t="n">
        <v>46200</v>
      </c>
      <c r="D210" t="inlineStr">
        <is>
          <t>VÄSTRA GÖTALANDS LÄN</t>
        </is>
      </c>
      <c r="E210" t="inlineStr">
        <is>
          <t>FALKÖPING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38111-2023</t>
        </is>
      </c>
      <c r="B211" s="1" t="n">
        <v>45161</v>
      </c>
      <c r="C211" s="1" t="n">
        <v>46200</v>
      </c>
      <c r="D211" t="inlineStr">
        <is>
          <t>VÄSTRA GÖTALANDS LÄN</t>
        </is>
      </c>
      <c r="E211" t="inlineStr">
        <is>
          <t>FALKÖPING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33924-2021</t>
        </is>
      </c>
      <c r="B212" s="1" t="n">
        <v>44378</v>
      </c>
      <c r="C212" s="1" t="n">
        <v>46200</v>
      </c>
      <c r="D212" t="inlineStr">
        <is>
          <t>VÄSTRA GÖTALANDS LÄN</t>
        </is>
      </c>
      <c r="E212" t="inlineStr">
        <is>
          <t>FALKÖPING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32205-2024</t>
        </is>
      </c>
      <c r="B213" s="1" t="n">
        <v>45511</v>
      </c>
      <c r="C213" s="1" t="n">
        <v>46200</v>
      </c>
      <c r="D213" t="inlineStr">
        <is>
          <t>VÄSTRA GÖTALANDS LÄN</t>
        </is>
      </c>
      <c r="E213" t="inlineStr">
        <is>
          <t>FALKÖPING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26597-2025</t>
        </is>
      </c>
      <c r="B214" s="1" t="n">
        <v>45808</v>
      </c>
      <c r="C214" s="1" t="n">
        <v>46200</v>
      </c>
      <c r="D214" t="inlineStr">
        <is>
          <t>VÄSTRA GÖTALANDS LÄN</t>
        </is>
      </c>
      <c r="E214" t="inlineStr">
        <is>
          <t>FALKÖPING</t>
        </is>
      </c>
      <c r="G214" t="n">
        <v>1.5</v>
      </c>
      <c r="H214" t="n">
        <v>0</v>
      </c>
      <c r="I214" t="n">
        <v>0</v>
      </c>
      <c r="J214" t="n">
        <v>0</v>
      </c>
      <c r="K214" t="n">
        <v>0</v>
      </c>
      <c r="L214" t="n">
        <v>0</v>
      </c>
      <c r="M214" t="n">
        <v>0</v>
      </c>
      <c r="N214" t="n">
        <v>0</v>
      </c>
      <c r="O214" t="n">
        <v>0</v>
      </c>
      <c r="P214" t="n">
        <v>0</v>
      </c>
      <c r="Q214" t="n">
        <v>0</v>
      </c>
      <c r="R214" s="2" t="inlineStr"/>
    </row>
    <row r="215" ht="15" customHeight="1">
      <c r="A215" t="inlineStr">
        <is>
          <t>A 26598-2025</t>
        </is>
      </c>
      <c r="B215" s="1" t="n">
        <v>45808</v>
      </c>
      <c r="C215" s="1" t="n">
        <v>46200</v>
      </c>
      <c r="D215" t="inlineStr">
        <is>
          <t>VÄSTRA GÖTALANDS LÄN</t>
        </is>
      </c>
      <c r="E215" t="inlineStr">
        <is>
          <t>FALKÖPING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27350-2024</t>
        </is>
      </c>
      <c r="B216" s="1" t="n">
        <v>45473</v>
      </c>
      <c r="C216" s="1" t="n">
        <v>46200</v>
      </c>
      <c r="D216" t="inlineStr">
        <is>
          <t>VÄSTRA GÖTALANDS LÄN</t>
        </is>
      </c>
      <c r="E216" t="inlineStr">
        <is>
          <t>FALKÖPING</t>
        </is>
      </c>
      <c r="G216" t="n">
        <v>2.8</v>
      </c>
      <c r="H216" t="n">
        <v>0</v>
      </c>
      <c r="I216" t="n">
        <v>0</v>
      </c>
      <c r="J216" t="n">
        <v>0</v>
      </c>
      <c r="K216" t="n">
        <v>0</v>
      </c>
      <c r="L216" t="n">
        <v>0</v>
      </c>
      <c r="M216" t="n">
        <v>0</v>
      </c>
      <c r="N216" t="n">
        <v>0</v>
      </c>
      <c r="O216" t="n">
        <v>0</v>
      </c>
      <c r="P216" t="n">
        <v>0</v>
      </c>
      <c r="Q216" t="n">
        <v>0</v>
      </c>
      <c r="R216" s="2" t="inlineStr"/>
    </row>
    <row r="217" ht="15" customHeight="1">
      <c r="A217" t="inlineStr">
        <is>
          <t>A 46312-2023</t>
        </is>
      </c>
      <c r="B217" s="1" t="n">
        <v>45197</v>
      </c>
      <c r="C217" s="1" t="n">
        <v>46200</v>
      </c>
      <c r="D217" t="inlineStr">
        <is>
          <t>VÄSTRA GÖTALANDS LÄN</t>
        </is>
      </c>
      <c r="E217" t="inlineStr">
        <is>
          <t>FALKÖPING</t>
        </is>
      </c>
      <c r="G217" t="n">
        <v>1.9</v>
      </c>
      <c r="H217" t="n">
        <v>0</v>
      </c>
      <c r="I217" t="n">
        <v>0</v>
      </c>
      <c r="J217" t="n">
        <v>0</v>
      </c>
      <c r="K217" t="n">
        <v>0</v>
      </c>
      <c r="L217" t="n">
        <v>0</v>
      </c>
      <c r="M217" t="n">
        <v>0</v>
      </c>
      <c r="N217" t="n">
        <v>0</v>
      </c>
      <c r="O217" t="n">
        <v>0</v>
      </c>
      <c r="P217" t="n">
        <v>0</v>
      </c>
      <c r="Q217" t="n">
        <v>0</v>
      </c>
      <c r="R217" s="2" t="inlineStr"/>
    </row>
    <row r="218" ht="15" customHeight="1">
      <c r="A218" t="inlineStr">
        <is>
          <t>A 58998-2022</t>
        </is>
      </c>
      <c r="B218" s="1" t="n">
        <v>44903</v>
      </c>
      <c r="C218" s="1" t="n">
        <v>46200</v>
      </c>
      <c r="D218" t="inlineStr">
        <is>
          <t>VÄSTRA GÖTALANDS LÄN</t>
        </is>
      </c>
      <c r="E218" t="inlineStr">
        <is>
          <t>FALKÖPING</t>
        </is>
      </c>
      <c r="G218" t="n">
        <v>1.6</v>
      </c>
      <c r="H218" t="n">
        <v>0</v>
      </c>
      <c r="I218" t="n">
        <v>0</v>
      </c>
      <c r="J218" t="n">
        <v>0</v>
      </c>
      <c r="K218" t="n">
        <v>0</v>
      </c>
      <c r="L218" t="n">
        <v>0</v>
      </c>
      <c r="M218" t="n">
        <v>0</v>
      </c>
      <c r="N218" t="n">
        <v>0</v>
      </c>
      <c r="O218" t="n">
        <v>0</v>
      </c>
      <c r="P218" t="n">
        <v>0</v>
      </c>
      <c r="Q218" t="n">
        <v>0</v>
      </c>
      <c r="R218" s="2" t="inlineStr"/>
    </row>
    <row r="219" ht="15" customHeight="1">
      <c r="A219" t="inlineStr">
        <is>
          <t>A 8326-2023</t>
        </is>
      </c>
      <c r="B219" s="1" t="n">
        <v>44974</v>
      </c>
      <c r="C219" s="1" t="n">
        <v>46200</v>
      </c>
      <c r="D219" t="inlineStr">
        <is>
          <t>VÄSTRA GÖTALANDS LÄN</t>
        </is>
      </c>
      <c r="E219" t="inlineStr">
        <is>
          <t>FALKÖPING</t>
        </is>
      </c>
      <c r="G219" t="n">
        <v>19.4</v>
      </c>
      <c r="H219" t="n">
        <v>0</v>
      </c>
      <c r="I219" t="n">
        <v>0</v>
      </c>
      <c r="J219" t="n">
        <v>0</v>
      </c>
      <c r="K219" t="n">
        <v>0</v>
      </c>
      <c r="L219" t="n">
        <v>0</v>
      </c>
      <c r="M219" t="n">
        <v>0</v>
      </c>
      <c r="N219" t="n">
        <v>0</v>
      </c>
      <c r="O219" t="n">
        <v>0</v>
      </c>
      <c r="P219" t="n">
        <v>0</v>
      </c>
      <c r="Q219" t="n">
        <v>0</v>
      </c>
      <c r="R219" s="2" t="inlineStr"/>
    </row>
    <row r="220" ht="15" customHeight="1">
      <c r="A220" t="inlineStr">
        <is>
          <t>A 58923-2021</t>
        </is>
      </c>
      <c r="B220" s="1" t="n">
        <v>44489</v>
      </c>
      <c r="C220" s="1" t="n">
        <v>46200</v>
      </c>
      <c r="D220" t="inlineStr">
        <is>
          <t>VÄSTRA GÖTALANDS LÄN</t>
        </is>
      </c>
      <c r="E220" t="inlineStr">
        <is>
          <t>FALKÖPING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10511-2023</t>
        </is>
      </c>
      <c r="B221" s="1" t="n">
        <v>44987</v>
      </c>
      <c r="C221" s="1" t="n">
        <v>46200</v>
      </c>
      <c r="D221" t="inlineStr">
        <is>
          <t>VÄSTRA GÖTALANDS LÄN</t>
        </is>
      </c>
      <c r="E221" t="inlineStr">
        <is>
          <t>FALKÖPING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27792-2025</t>
        </is>
      </c>
      <c r="B222" s="1" t="n">
        <v>45816</v>
      </c>
      <c r="C222" s="1" t="n">
        <v>46200</v>
      </c>
      <c r="D222" t="inlineStr">
        <is>
          <t>VÄSTRA GÖTALANDS LÄN</t>
        </is>
      </c>
      <c r="E222" t="inlineStr">
        <is>
          <t>FALKÖPING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22479-2022</t>
        </is>
      </c>
      <c r="B223" s="1" t="n">
        <v>44713</v>
      </c>
      <c r="C223" s="1" t="n">
        <v>46200</v>
      </c>
      <c r="D223" t="inlineStr">
        <is>
          <t>VÄSTRA GÖTALANDS LÄN</t>
        </is>
      </c>
      <c r="E223" t="inlineStr">
        <is>
          <t>FALKÖPING</t>
        </is>
      </c>
      <c r="G223" t="n">
        <v>3.5</v>
      </c>
      <c r="H223" t="n">
        <v>0</v>
      </c>
      <c r="I223" t="n">
        <v>0</v>
      </c>
      <c r="J223" t="n">
        <v>0</v>
      </c>
      <c r="K223" t="n">
        <v>0</v>
      </c>
      <c r="L223" t="n">
        <v>0</v>
      </c>
      <c r="M223" t="n">
        <v>0</v>
      </c>
      <c r="N223" t="n">
        <v>0</v>
      </c>
      <c r="O223" t="n">
        <v>0</v>
      </c>
      <c r="P223" t="n">
        <v>0</v>
      </c>
      <c r="Q223" t="n">
        <v>0</v>
      </c>
      <c r="R223" s="2" t="inlineStr"/>
    </row>
    <row r="224" ht="15" customHeight="1">
      <c r="A224" t="inlineStr">
        <is>
          <t>A 7592-2025</t>
        </is>
      </c>
      <c r="B224" s="1" t="n">
        <v>45705</v>
      </c>
      <c r="C224" s="1" t="n">
        <v>46200</v>
      </c>
      <c r="D224" t="inlineStr">
        <is>
          <t>VÄSTRA GÖTALANDS LÄN</t>
        </is>
      </c>
      <c r="E224" t="inlineStr">
        <is>
          <t>FALKÖPING</t>
        </is>
      </c>
      <c r="G224" t="n">
        <v>1.5</v>
      </c>
      <c r="H224" t="n">
        <v>0</v>
      </c>
      <c r="I224" t="n">
        <v>0</v>
      </c>
      <c r="J224" t="n">
        <v>0</v>
      </c>
      <c r="K224" t="n">
        <v>0</v>
      </c>
      <c r="L224" t="n">
        <v>0</v>
      </c>
      <c r="M224" t="n">
        <v>0</v>
      </c>
      <c r="N224" t="n">
        <v>0</v>
      </c>
      <c r="O224" t="n">
        <v>0</v>
      </c>
      <c r="P224" t="n">
        <v>0</v>
      </c>
      <c r="Q224" t="n">
        <v>0</v>
      </c>
      <c r="R224" s="2" t="inlineStr"/>
    </row>
    <row r="225" ht="15" customHeight="1">
      <c r="A225" t="inlineStr">
        <is>
          <t>A 14407-2025</t>
        </is>
      </c>
      <c r="B225" s="1" t="n">
        <v>45741</v>
      </c>
      <c r="C225" s="1" t="n">
        <v>46200</v>
      </c>
      <c r="D225" t="inlineStr">
        <is>
          <t>VÄSTRA GÖTALANDS LÄN</t>
        </is>
      </c>
      <c r="E225" t="inlineStr">
        <is>
          <t>FALKÖPING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10429-2022</t>
        </is>
      </c>
      <c r="B226" s="1" t="n">
        <v>44623</v>
      </c>
      <c r="C226" s="1" t="n">
        <v>46200</v>
      </c>
      <c r="D226" t="inlineStr">
        <is>
          <t>VÄSTRA GÖTALANDS LÄN</t>
        </is>
      </c>
      <c r="E226" t="inlineStr">
        <is>
          <t>FALKÖPING</t>
        </is>
      </c>
      <c r="G226" t="n">
        <v>2.9</v>
      </c>
      <c r="H226" t="n">
        <v>0</v>
      </c>
      <c r="I226" t="n">
        <v>0</v>
      </c>
      <c r="J226" t="n">
        <v>0</v>
      </c>
      <c r="K226" t="n">
        <v>0</v>
      </c>
      <c r="L226" t="n">
        <v>0</v>
      </c>
      <c r="M226" t="n">
        <v>0</v>
      </c>
      <c r="N226" t="n">
        <v>0</v>
      </c>
      <c r="O226" t="n">
        <v>0</v>
      </c>
      <c r="P226" t="n">
        <v>0</v>
      </c>
      <c r="Q226" t="n">
        <v>0</v>
      </c>
      <c r="R226" s="2" t="inlineStr"/>
    </row>
    <row r="227" ht="15" customHeight="1">
      <c r="A227" t="inlineStr">
        <is>
          <t>A 3200-2025</t>
        </is>
      </c>
      <c r="B227" s="1" t="n">
        <v>45679</v>
      </c>
      <c r="C227" s="1" t="n">
        <v>46200</v>
      </c>
      <c r="D227" t="inlineStr">
        <is>
          <t>VÄSTRA GÖTALANDS LÄN</t>
        </is>
      </c>
      <c r="E227" t="inlineStr">
        <is>
          <t>FALKÖPING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4415-2023</t>
        </is>
      </c>
      <c r="B228" s="1" t="n">
        <v>44952</v>
      </c>
      <c r="C228" s="1" t="n">
        <v>46200</v>
      </c>
      <c r="D228" t="inlineStr">
        <is>
          <t>VÄSTRA GÖTALANDS LÄN</t>
        </is>
      </c>
      <c r="E228" t="inlineStr">
        <is>
          <t>FALKÖPING</t>
        </is>
      </c>
      <c r="G228" t="n">
        <v>17.8</v>
      </c>
      <c r="H228" t="n">
        <v>0</v>
      </c>
      <c r="I228" t="n">
        <v>0</v>
      </c>
      <c r="J228" t="n">
        <v>0</v>
      </c>
      <c r="K228" t="n">
        <v>0</v>
      </c>
      <c r="L228" t="n">
        <v>0</v>
      </c>
      <c r="M228" t="n">
        <v>0</v>
      </c>
      <c r="N228" t="n">
        <v>0</v>
      </c>
      <c r="O228" t="n">
        <v>0</v>
      </c>
      <c r="P228" t="n">
        <v>0</v>
      </c>
      <c r="Q228" t="n">
        <v>0</v>
      </c>
      <c r="R228" s="2" t="inlineStr"/>
    </row>
    <row r="229" ht="15" customHeight="1">
      <c r="A229" t="inlineStr">
        <is>
          <t>A 11773-2025</t>
        </is>
      </c>
      <c r="B229" s="1" t="n">
        <v>45727</v>
      </c>
      <c r="C229" s="1" t="n">
        <v>46200</v>
      </c>
      <c r="D229" t="inlineStr">
        <is>
          <t>VÄSTRA GÖTALANDS LÄN</t>
        </is>
      </c>
      <c r="E229" t="inlineStr">
        <is>
          <t>FALKÖPING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60524-2023</t>
        </is>
      </c>
      <c r="B230" s="1" t="n">
        <v>45259</v>
      </c>
      <c r="C230" s="1" t="n">
        <v>46200</v>
      </c>
      <c r="D230" t="inlineStr">
        <is>
          <t>VÄSTRA GÖTALANDS LÄN</t>
        </is>
      </c>
      <c r="E230" t="inlineStr">
        <is>
          <t>FALKÖPING</t>
        </is>
      </c>
      <c r="G230" t="n">
        <v>15.8</v>
      </c>
      <c r="H230" t="n">
        <v>0</v>
      </c>
      <c r="I230" t="n">
        <v>0</v>
      </c>
      <c r="J230" t="n">
        <v>0</v>
      </c>
      <c r="K230" t="n">
        <v>0</v>
      </c>
      <c r="L230" t="n">
        <v>0</v>
      </c>
      <c r="M230" t="n">
        <v>0</v>
      </c>
      <c r="N230" t="n">
        <v>0</v>
      </c>
      <c r="O230" t="n">
        <v>0</v>
      </c>
      <c r="P230" t="n">
        <v>0</v>
      </c>
      <c r="Q230" t="n">
        <v>0</v>
      </c>
      <c r="R230" s="2" t="inlineStr"/>
    </row>
    <row r="231" ht="15" customHeight="1">
      <c r="A231" t="inlineStr">
        <is>
          <t>A 17260-2024</t>
        </is>
      </c>
      <c r="B231" s="1" t="n">
        <v>45414</v>
      </c>
      <c r="C231" s="1" t="n">
        <v>46200</v>
      </c>
      <c r="D231" t="inlineStr">
        <is>
          <t>VÄSTRA GÖTALANDS LÄN</t>
        </is>
      </c>
      <c r="E231" t="inlineStr">
        <is>
          <t>FALKÖPING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43732-2021</t>
        </is>
      </c>
      <c r="B232" s="1" t="n">
        <v>44433</v>
      </c>
      <c r="C232" s="1" t="n">
        <v>46200</v>
      </c>
      <c r="D232" t="inlineStr">
        <is>
          <t>VÄSTRA GÖTALANDS LÄN</t>
        </is>
      </c>
      <c r="E232" t="inlineStr">
        <is>
          <t>FALKÖPING</t>
        </is>
      </c>
      <c r="G232" t="n">
        <v>3.7</v>
      </c>
      <c r="H232" t="n">
        <v>0</v>
      </c>
      <c r="I232" t="n">
        <v>0</v>
      </c>
      <c r="J232" t="n">
        <v>0</v>
      </c>
      <c r="K232" t="n">
        <v>0</v>
      </c>
      <c r="L232" t="n">
        <v>0</v>
      </c>
      <c r="M232" t="n">
        <v>0</v>
      </c>
      <c r="N232" t="n">
        <v>0</v>
      </c>
      <c r="O232" t="n">
        <v>0</v>
      </c>
      <c r="P232" t="n">
        <v>0</v>
      </c>
      <c r="Q232" t="n">
        <v>0</v>
      </c>
      <c r="R232" s="2" t="inlineStr"/>
    </row>
    <row r="233" ht="15" customHeight="1">
      <c r="A233" t="inlineStr">
        <is>
          <t>A 30441-2023</t>
        </is>
      </c>
      <c r="B233" s="1" t="n">
        <v>45111</v>
      </c>
      <c r="C233" s="1" t="n">
        <v>46200</v>
      </c>
      <c r="D233" t="inlineStr">
        <is>
          <t>VÄSTRA GÖTALANDS LÄN</t>
        </is>
      </c>
      <c r="E233" t="inlineStr">
        <is>
          <t>FALKÖPING</t>
        </is>
      </c>
      <c r="G233" t="n">
        <v>5.1</v>
      </c>
      <c r="H233" t="n">
        <v>0</v>
      </c>
      <c r="I233" t="n">
        <v>0</v>
      </c>
      <c r="J233" t="n">
        <v>0</v>
      </c>
      <c r="K233" t="n">
        <v>0</v>
      </c>
      <c r="L233" t="n">
        <v>0</v>
      </c>
      <c r="M233" t="n">
        <v>0</v>
      </c>
      <c r="N233" t="n">
        <v>0</v>
      </c>
      <c r="O233" t="n">
        <v>0</v>
      </c>
      <c r="P233" t="n">
        <v>0</v>
      </c>
      <c r="Q233" t="n">
        <v>0</v>
      </c>
      <c r="R233" s="2" t="inlineStr"/>
    </row>
    <row r="234" ht="15" customHeight="1">
      <c r="A234" t="inlineStr">
        <is>
          <t>A 23475-2023</t>
        </is>
      </c>
      <c r="B234" s="1" t="n">
        <v>45076</v>
      </c>
      <c r="C234" s="1" t="n">
        <v>46200</v>
      </c>
      <c r="D234" t="inlineStr">
        <is>
          <t>VÄSTRA GÖTALANDS LÄN</t>
        </is>
      </c>
      <c r="E234" t="inlineStr">
        <is>
          <t>FALKÖPING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29750-2023</t>
        </is>
      </c>
      <c r="B235" s="1" t="n">
        <v>45107</v>
      </c>
      <c r="C235" s="1" t="n">
        <v>46200</v>
      </c>
      <c r="D235" t="inlineStr">
        <is>
          <t>VÄSTRA GÖTALANDS LÄN</t>
        </is>
      </c>
      <c r="E235" t="inlineStr">
        <is>
          <t>FALKÖPING</t>
        </is>
      </c>
      <c r="G235" t="n">
        <v>6.6</v>
      </c>
      <c r="H235" t="n">
        <v>0</v>
      </c>
      <c r="I235" t="n">
        <v>0</v>
      </c>
      <c r="J235" t="n">
        <v>0</v>
      </c>
      <c r="K235" t="n">
        <v>0</v>
      </c>
      <c r="L235" t="n">
        <v>0</v>
      </c>
      <c r="M235" t="n">
        <v>0</v>
      </c>
      <c r="N235" t="n">
        <v>0</v>
      </c>
      <c r="O235" t="n">
        <v>0</v>
      </c>
      <c r="P235" t="n">
        <v>0</v>
      </c>
      <c r="Q235" t="n">
        <v>0</v>
      </c>
      <c r="R235" s="2" t="inlineStr"/>
    </row>
    <row r="236" ht="15" customHeight="1">
      <c r="A236" t="inlineStr">
        <is>
          <t>A 4301-2025</t>
        </is>
      </c>
      <c r="B236" s="1" t="n">
        <v>45685</v>
      </c>
      <c r="C236" s="1" t="n">
        <v>46200</v>
      </c>
      <c r="D236" t="inlineStr">
        <is>
          <t>VÄSTRA GÖTALANDS LÄN</t>
        </is>
      </c>
      <c r="E236" t="inlineStr">
        <is>
          <t>FALKÖPING</t>
        </is>
      </c>
      <c r="G236" t="n">
        <v>2.8</v>
      </c>
      <c r="H236" t="n">
        <v>0</v>
      </c>
      <c r="I236" t="n">
        <v>0</v>
      </c>
      <c r="J236" t="n">
        <v>0</v>
      </c>
      <c r="K236" t="n">
        <v>0</v>
      </c>
      <c r="L236" t="n">
        <v>0</v>
      </c>
      <c r="M236" t="n">
        <v>0</v>
      </c>
      <c r="N236" t="n">
        <v>0</v>
      </c>
      <c r="O236" t="n">
        <v>0</v>
      </c>
      <c r="P236" t="n">
        <v>0</v>
      </c>
      <c r="Q236" t="n">
        <v>0</v>
      </c>
      <c r="R236" s="2" t="inlineStr"/>
    </row>
    <row r="237" ht="15" customHeight="1">
      <c r="A237" t="inlineStr">
        <is>
          <t>A 68660-2021</t>
        </is>
      </c>
      <c r="B237" s="1" t="n">
        <v>44529</v>
      </c>
      <c r="C237" s="1" t="n">
        <v>46200</v>
      </c>
      <c r="D237" t="inlineStr">
        <is>
          <t>VÄSTRA GÖTALANDS LÄN</t>
        </is>
      </c>
      <c r="E237" t="inlineStr">
        <is>
          <t>FALKÖPING</t>
        </is>
      </c>
      <c r="G237" t="n">
        <v>2.8</v>
      </c>
      <c r="H237" t="n">
        <v>0</v>
      </c>
      <c r="I237" t="n">
        <v>0</v>
      </c>
      <c r="J237" t="n">
        <v>0</v>
      </c>
      <c r="K237" t="n">
        <v>0</v>
      </c>
      <c r="L237" t="n">
        <v>0</v>
      </c>
      <c r="M237" t="n">
        <v>0</v>
      </c>
      <c r="N237" t="n">
        <v>0</v>
      </c>
      <c r="O237" t="n">
        <v>0</v>
      </c>
      <c r="P237" t="n">
        <v>0</v>
      </c>
      <c r="Q237" t="n">
        <v>0</v>
      </c>
      <c r="R237" s="2" t="inlineStr"/>
    </row>
    <row r="238" ht="15" customHeight="1">
      <c r="A238" t="inlineStr">
        <is>
          <t>A 5702-2025</t>
        </is>
      </c>
      <c r="B238" s="1" t="n">
        <v>45694</v>
      </c>
      <c r="C238" s="1" t="n">
        <v>46200</v>
      </c>
      <c r="D238" t="inlineStr">
        <is>
          <t>VÄSTRA GÖTALANDS LÄN</t>
        </is>
      </c>
      <c r="E238" t="inlineStr">
        <is>
          <t>FALKÖPING</t>
        </is>
      </c>
      <c r="G238" t="n">
        <v>3.1</v>
      </c>
      <c r="H238" t="n">
        <v>0</v>
      </c>
      <c r="I238" t="n">
        <v>0</v>
      </c>
      <c r="J238" t="n">
        <v>0</v>
      </c>
      <c r="K238" t="n">
        <v>0</v>
      </c>
      <c r="L238" t="n">
        <v>0</v>
      </c>
      <c r="M238" t="n">
        <v>0</v>
      </c>
      <c r="N238" t="n">
        <v>0</v>
      </c>
      <c r="O238" t="n">
        <v>0</v>
      </c>
      <c r="P238" t="n">
        <v>0</v>
      </c>
      <c r="Q238" t="n">
        <v>0</v>
      </c>
      <c r="R238" s="2" t="inlineStr"/>
    </row>
    <row r="239" ht="15" customHeight="1">
      <c r="A239" t="inlineStr">
        <is>
          <t>A 30626-2023</t>
        </is>
      </c>
      <c r="B239" s="1" t="n">
        <v>45112</v>
      </c>
      <c r="C239" s="1" t="n">
        <v>46200</v>
      </c>
      <c r="D239" t="inlineStr">
        <is>
          <t>VÄSTRA GÖTALANDS LÄN</t>
        </is>
      </c>
      <c r="E239" t="inlineStr">
        <is>
          <t>FALKÖPING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3461-2023</t>
        </is>
      </c>
      <c r="B240" s="1" t="n">
        <v>44949</v>
      </c>
      <c r="C240" s="1" t="n">
        <v>46200</v>
      </c>
      <c r="D240" t="inlineStr">
        <is>
          <t>VÄSTRA GÖTALANDS LÄN</t>
        </is>
      </c>
      <c r="E240" t="inlineStr">
        <is>
          <t>FALKÖPING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26731-2023</t>
        </is>
      </c>
      <c r="B241" s="1" t="n">
        <v>45093</v>
      </c>
      <c r="C241" s="1" t="n">
        <v>46200</v>
      </c>
      <c r="D241" t="inlineStr">
        <is>
          <t>VÄSTRA GÖTALANDS LÄN</t>
        </is>
      </c>
      <c r="E241" t="inlineStr">
        <is>
          <t>FALKÖPING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31611-2025</t>
        </is>
      </c>
      <c r="B242" s="1" t="n">
        <v>45833</v>
      </c>
      <c r="C242" s="1" t="n">
        <v>46200</v>
      </c>
      <c r="D242" t="inlineStr">
        <is>
          <t>VÄSTRA GÖTALANDS LÄN</t>
        </is>
      </c>
      <c r="E242" t="inlineStr">
        <is>
          <t>FALKÖPING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32188-2024</t>
        </is>
      </c>
      <c r="B243" s="1" t="n">
        <v>45511</v>
      </c>
      <c r="C243" s="1" t="n">
        <v>46200</v>
      </c>
      <c r="D243" t="inlineStr">
        <is>
          <t>VÄSTRA GÖTALANDS LÄN</t>
        </is>
      </c>
      <c r="E243" t="inlineStr">
        <is>
          <t>FALKÖPING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1388-2024</t>
        </is>
      </c>
      <c r="B244" s="1" t="n">
        <v>45303</v>
      </c>
      <c r="C244" s="1" t="n">
        <v>46200</v>
      </c>
      <c r="D244" t="inlineStr">
        <is>
          <t>VÄSTRA GÖTALANDS LÄN</t>
        </is>
      </c>
      <c r="E244" t="inlineStr">
        <is>
          <t>FALKÖPING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12765-2024</t>
        </is>
      </c>
      <c r="B245" s="1" t="n">
        <v>45384</v>
      </c>
      <c r="C245" s="1" t="n">
        <v>46200</v>
      </c>
      <c r="D245" t="inlineStr">
        <is>
          <t>VÄSTRA GÖTALANDS LÄN</t>
        </is>
      </c>
      <c r="E245" t="inlineStr">
        <is>
          <t>FALKÖPING</t>
        </is>
      </c>
      <c r="G245" t="n">
        <v>2.1</v>
      </c>
      <c r="H245" t="n">
        <v>0</v>
      </c>
      <c r="I245" t="n">
        <v>0</v>
      </c>
      <c r="J245" t="n">
        <v>0</v>
      </c>
      <c r="K245" t="n">
        <v>0</v>
      </c>
      <c r="L245" t="n">
        <v>0</v>
      </c>
      <c r="M245" t="n">
        <v>0</v>
      </c>
      <c r="N245" t="n">
        <v>0</v>
      </c>
      <c r="O245" t="n">
        <v>0</v>
      </c>
      <c r="P245" t="n">
        <v>0</v>
      </c>
      <c r="Q245" t="n">
        <v>0</v>
      </c>
      <c r="R245" s="2" t="inlineStr"/>
    </row>
    <row r="246" ht="15" customHeight="1">
      <c r="A246" t="inlineStr">
        <is>
          <t>A 54090-2024</t>
        </is>
      </c>
      <c r="B246" s="1" t="n">
        <v>45616</v>
      </c>
      <c r="C246" s="1" t="n">
        <v>46200</v>
      </c>
      <c r="D246" t="inlineStr">
        <is>
          <t>VÄSTRA GÖTALANDS LÄN</t>
        </is>
      </c>
      <c r="E246" t="inlineStr">
        <is>
          <t>FALKÖPING</t>
        </is>
      </c>
      <c r="G246" t="n">
        <v>7.8</v>
      </c>
      <c r="H246" t="n">
        <v>0</v>
      </c>
      <c r="I246" t="n">
        <v>0</v>
      </c>
      <c r="J246" t="n">
        <v>0</v>
      </c>
      <c r="K246" t="n">
        <v>0</v>
      </c>
      <c r="L246" t="n">
        <v>0</v>
      </c>
      <c r="M246" t="n">
        <v>0</v>
      </c>
      <c r="N246" t="n">
        <v>0</v>
      </c>
      <c r="O246" t="n">
        <v>0</v>
      </c>
      <c r="P246" t="n">
        <v>0</v>
      </c>
      <c r="Q246" t="n">
        <v>0</v>
      </c>
      <c r="R246" s="2" t="inlineStr"/>
    </row>
    <row r="247" ht="15" customHeight="1">
      <c r="A247" t="inlineStr">
        <is>
          <t>A 54100-2024</t>
        </is>
      </c>
      <c r="B247" s="1" t="n">
        <v>45616</v>
      </c>
      <c r="C247" s="1" t="n">
        <v>46200</v>
      </c>
      <c r="D247" t="inlineStr">
        <is>
          <t>VÄSTRA GÖTALANDS LÄN</t>
        </is>
      </c>
      <c r="E247" t="inlineStr">
        <is>
          <t>FALKÖPING</t>
        </is>
      </c>
      <c r="G247" t="n">
        <v>3.8</v>
      </c>
      <c r="H247" t="n">
        <v>0</v>
      </c>
      <c r="I247" t="n">
        <v>0</v>
      </c>
      <c r="J247" t="n">
        <v>0</v>
      </c>
      <c r="K247" t="n">
        <v>0</v>
      </c>
      <c r="L247" t="n">
        <v>0</v>
      </c>
      <c r="M247" t="n">
        <v>0</v>
      </c>
      <c r="N247" t="n">
        <v>0</v>
      </c>
      <c r="O247" t="n">
        <v>0</v>
      </c>
      <c r="P247" t="n">
        <v>0</v>
      </c>
      <c r="Q247" t="n">
        <v>0</v>
      </c>
      <c r="R247" s="2" t="inlineStr"/>
    </row>
    <row r="248" ht="15" customHeight="1">
      <c r="A248" t="inlineStr">
        <is>
          <t>A 18759-2024</t>
        </is>
      </c>
      <c r="B248" s="1" t="n">
        <v>45426</v>
      </c>
      <c r="C248" s="1" t="n">
        <v>46200</v>
      </c>
      <c r="D248" t="inlineStr">
        <is>
          <t>VÄSTRA GÖTALANDS LÄN</t>
        </is>
      </c>
      <c r="E248" t="inlineStr">
        <is>
          <t>FALKÖPING</t>
        </is>
      </c>
      <c r="G248" t="n">
        <v>5.5</v>
      </c>
      <c r="H248" t="n">
        <v>0</v>
      </c>
      <c r="I248" t="n">
        <v>0</v>
      </c>
      <c r="J248" t="n">
        <v>0</v>
      </c>
      <c r="K248" t="n">
        <v>0</v>
      </c>
      <c r="L248" t="n">
        <v>0</v>
      </c>
      <c r="M248" t="n">
        <v>0</v>
      </c>
      <c r="N248" t="n">
        <v>0</v>
      </c>
      <c r="O248" t="n">
        <v>0</v>
      </c>
      <c r="P248" t="n">
        <v>0</v>
      </c>
      <c r="Q248" t="n">
        <v>0</v>
      </c>
      <c r="R248" s="2" t="inlineStr"/>
    </row>
    <row r="249" ht="15" customHeight="1">
      <c r="A249" t="inlineStr">
        <is>
          <t>A 18126-2023</t>
        </is>
      </c>
      <c r="B249" s="1" t="n">
        <v>45040</v>
      </c>
      <c r="C249" s="1" t="n">
        <v>46200</v>
      </c>
      <c r="D249" t="inlineStr">
        <is>
          <t>VÄSTRA GÖTALANDS LÄN</t>
        </is>
      </c>
      <c r="E249" t="inlineStr">
        <is>
          <t>FALKÖPING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18131-2023</t>
        </is>
      </c>
      <c r="B250" s="1" t="n">
        <v>45040</v>
      </c>
      <c r="C250" s="1" t="n">
        <v>46200</v>
      </c>
      <c r="D250" t="inlineStr">
        <is>
          <t>VÄSTRA GÖTALANDS LÄN</t>
        </is>
      </c>
      <c r="E250" t="inlineStr">
        <is>
          <t>FALKÖPING</t>
        </is>
      </c>
      <c r="G250" t="n">
        <v>0.9</v>
      </c>
      <c r="H250" t="n">
        <v>0</v>
      </c>
      <c r="I250" t="n">
        <v>0</v>
      </c>
      <c r="J250" t="n">
        <v>0</v>
      </c>
      <c r="K250" t="n">
        <v>0</v>
      </c>
      <c r="L250" t="n">
        <v>0</v>
      </c>
      <c r="M250" t="n">
        <v>0</v>
      </c>
      <c r="N250" t="n">
        <v>0</v>
      </c>
      <c r="O250" t="n">
        <v>0</v>
      </c>
      <c r="P250" t="n">
        <v>0</v>
      </c>
      <c r="Q250" t="n">
        <v>0</v>
      </c>
      <c r="R250" s="2" t="inlineStr"/>
    </row>
    <row r="251" ht="15" customHeight="1">
      <c r="A251" t="inlineStr">
        <is>
          <t>A 37958-2022</t>
        </is>
      </c>
      <c r="B251" s="1" t="n">
        <v>44811</v>
      </c>
      <c r="C251" s="1" t="n">
        <v>46200</v>
      </c>
      <c r="D251" t="inlineStr">
        <is>
          <t>VÄSTRA GÖTALANDS LÄN</t>
        </is>
      </c>
      <c r="E251" t="inlineStr">
        <is>
          <t>FALKÖPING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29719-2024</t>
        </is>
      </c>
      <c r="B252" s="1" t="n">
        <v>45485</v>
      </c>
      <c r="C252" s="1" t="n">
        <v>46200</v>
      </c>
      <c r="D252" t="inlineStr">
        <is>
          <t>VÄSTRA GÖTALANDS LÄN</t>
        </is>
      </c>
      <c r="E252" t="inlineStr">
        <is>
          <t>FALKÖPING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61053-2021</t>
        </is>
      </c>
      <c r="B253" s="1" t="n">
        <v>44497</v>
      </c>
      <c r="C253" s="1" t="n">
        <v>46200</v>
      </c>
      <c r="D253" t="inlineStr">
        <is>
          <t>VÄSTRA GÖTALANDS LÄN</t>
        </is>
      </c>
      <c r="E253" t="inlineStr">
        <is>
          <t>FALKÖPING</t>
        </is>
      </c>
      <c r="G253" t="n">
        <v>4.6</v>
      </c>
      <c r="H253" t="n">
        <v>0</v>
      </c>
      <c r="I253" t="n">
        <v>0</v>
      </c>
      <c r="J253" t="n">
        <v>0</v>
      </c>
      <c r="K253" t="n">
        <v>0</v>
      </c>
      <c r="L253" t="n">
        <v>0</v>
      </c>
      <c r="M253" t="n">
        <v>0</v>
      </c>
      <c r="N253" t="n">
        <v>0</v>
      </c>
      <c r="O253" t="n">
        <v>0</v>
      </c>
      <c r="P253" t="n">
        <v>0</v>
      </c>
      <c r="Q253" t="n">
        <v>0</v>
      </c>
      <c r="R253" s="2" t="inlineStr"/>
    </row>
    <row r="254" ht="15" customHeight="1">
      <c r="A254" t="inlineStr">
        <is>
          <t>A 39997-2023</t>
        </is>
      </c>
      <c r="B254" s="1" t="n">
        <v>45168</v>
      </c>
      <c r="C254" s="1" t="n">
        <v>46200</v>
      </c>
      <c r="D254" t="inlineStr">
        <is>
          <t>VÄSTRA GÖTALANDS LÄN</t>
        </is>
      </c>
      <c r="E254" t="inlineStr">
        <is>
          <t>FALKÖPING</t>
        </is>
      </c>
      <c r="G254" t="n">
        <v>1.7</v>
      </c>
      <c r="H254" t="n">
        <v>0</v>
      </c>
      <c r="I254" t="n">
        <v>0</v>
      </c>
      <c r="J254" t="n">
        <v>0</v>
      </c>
      <c r="K254" t="n">
        <v>0</v>
      </c>
      <c r="L254" t="n">
        <v>0</v>
      </c>
      <c r="M254" t="n">
        <v>0</v>
      </c>
      <c r="N254" t="n">
        <v>0</v>
      </c>
      <c r="O254" t="n">
        <v>0</v>
      </c>
      <c r="P254" t="n">
        <v>0</v>
      </c>
      <c r="Q254" t="n">
        <v>0</v>
      </c>
      <c r="R254" s="2" t="inlineStr"/>
    </row>
    <row r="255" ht="15" customHeight="1">
      <c r="A255" t="inlineStr">
        <is>
          <t>A 247-2023</t>
        </is>
      </c>
      <c r="B255" s="1" t="n">
        <v>44928</v>
      </c>
      <c r="C255" s="1" t="n">
        <v>46200</v>
      </c>
      <c r="D255" t="inlineStr">
        <is>
          <t>VÄSTRA GÖTALANDS LÄN</t>
        </is>
      </c>
      <c r="E255" t="inlineStr">
        <is>
          <t>FALKÖPING</t>
        </is>
      </c>
      <c r="G255" t="n">
        <v>1.9</v>
      </c>
      <c r="H255" t="n">
        <v>0</v>
      </c>
      <c r="I255" t="n">
        <v>0</v>
      </c>
      <c r="J255" t="n">
        <v>0</v>
      </c>
      <c r="K255" t="n">
        <v>0</v>
      </c>
      <c r="L255" t="n">
        <v>0</v>
      </c>
      <c r="M255" t="n">
        <v>0</v>
      </c>
      <c r="N255" t="n">
        <v>0</v>
      </c>
      <c r="O255" t="n">
        <v>0</v>
      </c>
      <c r="P255" t="n">
        <v>0</v>
      </c>
      <c r="Q255" t="n">
        <v>0</v>
      </c>
      <c r="R255" s="2" t="inlineStr"/>
    </row>
    <row r="256" ht="15" customHeight="1">
      <c r="A256" t="inlineStr">
        <is>
          <t>A 248-2023</t>
        </is>
      </c>
      <c r="B256" s="1" t="n">
        <v>44928</v>
      </c>
      <c r="C256" s="1" t="n">
        <v>46200</v>
      </c>
      <c r="D256" t="inlineStr">
        <is>
          <t>VÄSTRA GÖTALANDS LÄN</t>
        </is>
      </c>
      <c r="E256" t="inlineStr">
        <is>
          <t>FALKÖPING</t>
        </is>
      </c>
      <c r="G256" t="n">
        <v>6.4</v>
      </c>
      <c r="H256" t="n">
        <v>0</v>
      </c>
      <c r="I256" t="n">
        <v>0</v>
      </c>
      <c r="J256" t="n">
        <v>0</v>
      </c>
      <c r="K256" t="n">
        <v>0</v>
      </c>
      <c r="L256" t="n">
        <v>0</v>
      </c>
      <c r="M256" t="n">
        <v>0</v>
      </c>
      <c r="N256" t="n">
        <v>0</v>
      </c>
      <c r="O256" t="n">
        <v>0</v>
      </c>
      <c r="P256" t="n">
        <v>0</v>
      </c>
      <c r="Q256" t="n">
        <v>0</v>
      </c>
      <c r="R256" s="2" t="inlineStr"/>
    </row>
    <row r="257" ht="15" customHeight="1">
      <c r="A257" t="inlineStr">
        <is>
          <t>A 50178-2024</t>
        </is>
      </c>
      <c r="B257" s="1" t="n">
        <v>45600</v>
      </c>
      <c r="C257" s="1" t="n">
        <v>46200</v>
      </c>
      <c r="D257" t="inlineStr">
        <is>
          <t>VÄSTRA GÖTALANDS LÄN</t>
        </is>
      </c>
      <c r="E257" t="inlineStr">
        <is>
          <t>FALKÖPING</t>
        </is>
      </c>
      <c r="G257" t="n">
        <v>2</v>
      </c>
      <c r="H257" t="n">
        <v>0</v>
      </c>
      <c r="I257" t="n">
        <v>0</v>
      </c>
      <c r="J257" t="n">
        <v>0</v>
      </c>
      <c r="K257" t="n">
        <v>0</v>
      </c>
      <c r="L257" t="n">
        <v>0</v>
      </c>
      <c r="M257" t="n">
        <v>0</v>
      </c>
      <c r="N257" t="n">
        <v>0</v>
      </c>
      <c r="O257" t="n">
        <v>0</v>
      </c>
      <c r="P257" t="n">
        <v>0</v>
      </c>
      <c r="Q257" t="n">
        <v>0</v>
      </c>
      <c r="R257" s="2" t="inlineStr"/>
    </row>
    <row r="258" ht="15" customHeight="1">
      <c r="A258" t="inlineStr">
        <is>
          <t>A 24870-2023</t>
        </is>
      </c>
      <c r="B258" s="1" t="n">
        <v>45085</v>
      </c>
      <c r="C258" s="1" t="n">
        <v>46200</v>
      </c>
      <c r="D258" t="inlineStr">
        <is>
          <t>VÄSTRA GÖTALANDS LÄN</t>
        </is>
      </c>
      <c r="E258" t="inlineStr">
        <is>
          <t>FALKÖPING</t>
        </is>
      </c>
      <c r="G258" t="n">
        <v>1.9</v>
      </c>
      <c r="H258" t="n">
        <v>0</v>
      </c>
      <c r="I258" t="n">
        <v>0</v>
      </c>
      <c r="J258" t="n">
        <v>0</v>
      </c>
      <c r="K258" t="n">
        <v>0</v>
      </c>
      <c r="L258" t="n">
        <v>0</v>
      </c>
      <c r="M258" t="n">
        <v>0</v>
      </c>
      <c r="N258" t="n">
        <v>0</v>
      </c>
      <c r="O258" t="n">
        <v>0</v>
      </c>
      <c r="P258" t="n">
        <v>0</v>
      </c>
      <c r="Q258" t="n">
        <v>0</v>
      </c>
      <c r="R258" s="2" t="inlineStr"/>
    </row>
    <row r="259" ht="15" customHeight="1">
      <c r="A259" t="inlineStr">
        <is>
          <t>A 32203-2024</t>
        </is>
      </c>
      <c r="B259" s="1" t="n">
        <v>45511</v>
      </c>
      <c r="C259" s="1" t="n">
        <v>46200</v>
      </c>
      <c r="D259" t="inlineStr">
        <is>
          <t>VÄSTRA GÖTALANDS LÄN</t>
        </is>
      </c>
      <c r="E259" t="inlineStr">
        <is>
          <t>FALKÖPING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3948-2023</t>
        </is>
      </c>
      <c r="B260" s="1" t="n">
        <v>44952</v>
      </c>
      <c r="C260" s="1" t="n">
        <v>46200</v>
      </c>
      <c r="D260" t="inlineStr">
        <is>
          <t>VÄSTRA GÖTALANDS LÄN</t>
        </is>
      </c>
      <c r="E260" t="inlineStr">
        <is>
          <t>FALKÖPING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38246-2022</t>
        </is>
      </c>
      <c r="B261" s="1" t="n">
        <v>44812</v>
      </c>
      <c r="C261" s="1" t="n">
        <v>46200</v>
      </c>
      <c r="D261" t="inlineStr">
        <is>
          <t>VÄSTRA GÖTALANDS LÄN</t>
        </is>
      </c>
      <c r="E261" t="inlineStr">
        <is>
          <t>FALKÖPING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50400-2024</t>
        </is>
      </c>
      <c r="B262" s="1" t="n">
        <v>45601</v>
      </c>
      <c r="C262" s="1" t="n">
        <v>46200</v>
      </c>
      <c r="D262" t="inlineStr">
        <is>
          <t>VÄSTRA GÖTALANDS LÄN</t>
        </is>
      </c>
      <c r="E262" t="inlineStr">
        <is>
          <t>FALKÖPING</t>
        </is>
      </c>
      <c r="G262" t="n">
        <v>3.1</v>
      </c>
      <c r="H262" t="n">
        <v>0</v>
      </c>
      <c r="I262" t="n">
        <v>0</v>
      </c>
      <c r="J262" t="n">
        <v>0</v>
      </c>
      <c r="K262" t="n">
        <v>0</v>
      </c>
      <c r="L262" t="n">
        <v>0</v>
      </c>
      <c r="M262" t="n">
        <v>0</v>
      </c>
      <c r="N262" t="n">
        <v>0</v>
      </c>
      <c r="O262" t="n">
        <v>0</v>
      </c>
      <c r="P262" t="n">
        <v>0</v>
      </c>
      <c r="Q262" t="n">
        <v>0</v>
      </c>
      <c r="R262" s="2" t="inlineStr"/>
    </row>
    <row r="263" ht="15" customHeight="1">
      <c r="A263" t="inlineStr">
        <is>
          <t>A 11436-2022</t>
        </is>
      </c>
      <c r="B263" s="1" t="n">
        <v>44630</v>
      </c>
      <c r="C263" s="1" t="n">
        <v>46200</v>
      </c>
      <c r="D263" t="inlineStr">
        <is>
          <t>VÄSTRA GÖTALANDS LÄN</t>
        </is>
      </c>
      <c r="E263" t="inlineStr">
        <is>
          <t>FALKÖPING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11440-2022</t>
        </is>
      </c>
      <c r="B264" s="1" t="n">
        <v>44630</v>
      </c>
      <c r="C264" s="1" t="n">
        <v>46200</v>
      </c>
      <c r="D264" t="inlineStr">
        <is>
          <t>VÄSTRA GÖTALANDS LÄN</t>
        </is>
      </c>
      <c r="E264" t="inlineStr">
        <is>
          <t>FALKÖPING</t>
        </is>
      </c>
      <c r="G264" t="n">
        <v>3.3</v>
      </c>
      <c r="H264" t="n">
        <v>0</v>
      </c>
      <c r="I264" t="n">
        <v>0</v>
      </c>
      <c r="J264" t="n">
        <v>0</v>
      </c>
      <c r="K264" t="n">
        <v>0</v>
      </c>
      <c r="L264" t="n">
        <v>0</v>
      </c>
      <c r="M264" t="n">
        <v>0</v>
      </c>
      <c r="N264" t="n">
        <v>0</v>
      </c>
      <c r="O264" t="n">
        <v>0</v>
      </c>
      <c r="P264" t="n">
        <v>0</v>
      </c>
      <c r="Q264" t="n">
        <v>0</v>
      </c>
      <c r="R264" s="2" t="inlineStr"/>
    </row>
    <row r="265" ht="15" customHeight="1">
      <c r="A265" t="inlineStr">
        <is>
          <t>A 39278-2023</t>
        </is>
      </c>
      <c r="B265" s="1" t="n">
        <v>45166</v>
      </c>
      <c r="C265" s="1" t="n">
        <v>46200</v>
      </c>
      <c r="D265" t="inlineStr">
        <is>
          <t>VÄSTRA GÖTALANDS LÄN</t>
        </is>
      </c>
      <c r="E265" t="inlineStr">
        <is>
          <t>FALKÖPING</t>
        </is>
      </c>
      <c r="G265" t="n">
        <v>3.9</v>
      </c>
      <c r="H265" t="n">
        <v>0</v>
      </c>
      <c r="I265" t="n">
        <v>0</v>
      </c>
      <c r="J265" t="n">
        <v>0</v>
      </c>
      <c r="K265" t="n">
        <v>0</v>
      </c>
      <c r="L265" t="n">
        <v>0</v>
      </c>
      <c r="M265" t="n">
        <v>0</v>
      </c>
      <c r="N265" t="n">
        <v>0</v>
      </c>
      <c r="O265" t="n">
        <v>0</v>
      </c>
      <c r="P265" t="n">
        <v>0</v>
      </c>
      <c r="Q265" t="n">
        <v>0</v>
      </c>
      <c r="R265" s="2" t="inlineStr"/>
    </row>
    <row r="266" ht="15" customHeight="1">
      <c r="A266" t="inlineStr">
        <is>
          <t>A 55437-2024</t>
        </is>
      </c>
      <c r="B266" s="1" t="n">
        <v>45622</v>
      </c>
      <c r="C266" s="1" t="n">
        <v>46200</v>
      </c>
      <c r="D266" t="inlineStr">
        <is>
          <t>VÄSTRA GÖTALANDS LÄN</t>
        </is>
      </c>
      <c r="E266" t="inlineStr">
        <is>
          <t>FALKÖPING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16803-2023</t>
        </is>
      </c>
      <c r="B267" s="1" t="n">
        <v>45033</v>
      </c>
      <c r="C267" s="1" t="n">
        <v>46200</v>
      </c>
      <c r="D267" t="inlineStr">
        <is>
          <t>VÄSTRA GÖTALANDS LÄN</t>
        </is>
      </c>
      <c r="E267" t="inlineStr">
        <is>
          <t>FALKÖPING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10830-2022</t>
        </is>
      </c>
      <c r="B268" s="1" t="n">
        <v>44627</v>
      </c>
      <c r="C268" s="1" t="n">
        <v>46200</v>
      </c>
      <c r="D268" t="inlineStr">
        <is>
          <t>VÄSTRA GÖTALANDS LÄN</t>
        </is>
      </c>
      <c r="E268" t="inlineStr">
        <is>
          <t>FALKÖPING</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48681-2024</t>
        </is>
      </c>
      <c r="B269" s="1" t="n">
        <v>45593</v>
      </c>
      <c r="C269" s="1" t="n">
        <v>46200</v>
      </c>
      <c r="D269" t="inlineStr">
        <is>
          <t>VÄSTRA GÖTALANDS LÄN</t>
        </is>
      </c>
      <c r="E269" t="inlineStr">
        <is>
          <t>FALKÖPING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55434-2024</t>
        </is>
      </c>
      <c r="B270" s="1" t="n">
        <v>45622</v>
      </c>
      <c r="C270" s="1" t="n">
        <v>46200</v>
      </c>
      <c r="D270" t="inlineStr">
        <is>
          <t>VÄSTRA GÖTALANDS LÄN</t>
        </is>
      </c>
      <c r="E270" t="inlineStr">
        <is>
          <t>FALKÖPING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14770-2023</t>
        </is>
      </c>
      <c r="B271" s="1" t="n">
        <v>45014</v>
      </c>
      <c r="C271" s="1" t="n">
        <v>46200</v>
      </c>
      <c r="D271" t="inlineStr">
        <is>
          <t>VÄSTRA GÖTALANDS LÄN</t>
        </is>
      </c>
      <c r="E271" t="inlineStr">
        <is>
          <t>FALKÖPING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11525-2025</t>
        </is>
      </c>
      <c r="B272" s="1" t="n">
        <v>45727</v>
      </c>
      <c r="C272" s="1" t="n">
        <v>46200</v>
      </c>
      <c r="D272" t="inlineStr">
        <is>
          <t>VÄSTRA GÖTALANDS LÄN</t>
        </is>
      </c>
      <c r="E272" t="inlineStr">
        <is>
          <t>FALKÖPING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11502-2025</t>
        </is>
      </c>
      <c r="B273" s="1" t="n">
        <v>45726</v>
      </c>
      <c r="C273" s="1" t="n">
        <v>46200</v>
      </c>
      <c r="D273" t="inlineStr">
        <is>
          <t>VÄSTRA GÖTALANDS LÄN</t>
        </is>
      </c>
      <c r="E273" t="inlineStr">
        <is>
          <t>FALKÖPING</t>
        </is>
      </c>
      <c r="G273" t="n">
        <v>0.9</v>
      </c>
      <c r="H273" t="n">
        <v>0</v>
      </c>
      <c r="I273" t="n">
        <v>0</v>
      </c>
      <c r="J273" t="n">
        <v>0</v>
      </c>
      <c r="K273" t="n">
        <v>0</v>
      </c>
      <c r="L273" t="n">
        <v>0</v>
      </c>
      <c r="M273" t="n">
        <v>0</v>
      </c>
      <c r="N273" t="n">
        <v>0</v>
      </c>
      <c r="O273" t="n">
        <v>0</v>
      </c>
      <c r="P273" t="n">
        <v>0</v>
      </c>
      <c r="Q273" t="n">
        <v>0</v>
      </c>
      <c r="R273" s="2" t="inlineStr"/>
    </row>
    <row r="274" ht="15" customHeight="1">
      <c r="A274" t="inlineStr">
        <is>
          <t>A 13450-2022</t>
        </is>
      </c>
      <c r="B274" s="1" t="n">
        <v>44645</v>
      </c>
      <c r="C274" s="1" t="n">
        <v>46200</v>
      </c>
      <c r="D274" t="inlineStr">
        <is>
          <t>VÄSTRA GÖTALANDS LÄN</t>
        </is>
      </c>
      <c r="E274" t="inlineStr">
        <is>
          <t>FALKÖPING</t>
        </is>
      </c>
      <c r="G274" t="n">
        <v>2.5</v>
      </c>
      <c r="H274" t="n">
        <v>0</v>
      </c>
      <c r="I274" t="n">
        <v>0</v>
      </c>
      <c r="J274" t="n">
        <v>0</v>
      </c>
      <c r="K274" t="n">
        <v>0</v>
      </c>
      <c r="L274" t="n">
        <v>0</v>
      </c>
      <c r="M274" t="n">
        <v>0</v>
      </c>
      <c r="N274" t="n">
        <v>0</v>
      </c>
      <c r="O274" t="n">
        <v>0</v>
      </c>
      <c r="P274" t="n">
        <v>0</v>
      </c>
      <c r="Q274" t="n">
        <v>0</v>
      </c>
      <c r="R274" s="2" t="inlineStr"/>
    </row>
    <row r="275" ht="15" customHeight="1">
      <c r="A275" t="inlineStr">
        <is>
          <t>A 36181-2025</t>
        </is>
      </c>
      <c r="B275" s="1" t="n">
        <v>45867</v>
      </c>
      <c r="C275" s="1" t="n">
        <v>46200</v>
      </c>
      <c r="D275" t="inlineStr">
        <is>
          <t>VÄSTRA GÖTALANDS LÄN</t>
        </is>
      </c>
      <c r="E275" t="inlineStr">
        <is>
          <t>FALKÖPING</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36187-2025</t>
        </is>
      </c>
      <c r="B276" s="1" t="n">
        <v>45867</v>
      </c>
      <c r="C276" s="1" t="n">
        <v>46200</v>
      </c>
      <c r="D276" t="inlineStr">
        <is>
          <t>VÄSTRA GÖTALANDS LÄN</t>
        </is>
      </c>
      <c r="E276" t="inlineStr">
        <is>
          <t>FALKÖPING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52897-2023</t>
        </is>
      </c>
      <c r="B277" s="1" t="n">
        <v>45226</v>
      </c>
      <c r="C277" s="1" t="n">
        <v>46200</v>
      </c>
      <c r="D277" t="inlineStr">
        <is>
          <t>VÄSTRA GÖTALANDS LÄN</t>
        </is>
      </c>
      <c r="E277" t="inlineStr">
        <is>
          <t>FALKÖPING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36631-2025</t>
        </is>
      </c>
      <c r="B278" s="1" t="n">
        <v>45870</v>
      </c>
      <c r="C278" s="1" t="n">
        <v>46200</v>
      </c>
      <c r="D278" t="inlineStr">
        <is>
          <t>VÄSTRA GÖTALANDS LÄN</t>
        </is>
      </c>
      <c r="E278" t="inlineStr">
        <is>
          <t>FALKÖPING</t>
        </is>
      </c>
      <c r="G278" t="n">
        <v>5.8</v>
      </c>
      <c r="H278" t="n">
        <v>0</v>
      </c>
      <c r="I278" t="n">
        <v>0</v>
      </c>
      <c r="J278" t="n">
        <v>0</v>
      </c>
      <c r="K278" t="n">
        <v>0</v>
      </c>
      <c r="L278" t="n">
        <v>0</v>
      </c>
      <c r="M278" t="n">
        <v>0</v>
      </c>
      <c r="N278" t="n">
        <v>0</v>
      </c>
      <c r="O278" t="n">
        <v>0</v>
      </c>
      <c r="P278" t="n">
        <v>0</v>
      </c>
      <c r="Q278" t="n">
        <v>0</v>
      </c>
      <c r="R278" s="2" t="inlineStr"/>
    </row>
    <row r="279" ht="15" customHeight="1">
      <c r="A279" t="inlineStr">
        <is>
          <t>A 45908-2021</t>
        </is>
      </c>
      <c r="B279" s="1" t="n">
        <v>44441</v>
      </c>
      <c r="C279" s="1" t="n">
        <v>46200</v>
      </c>
      <c r="D279" t="inlineStr">
        <is>
          <t>VÄSTRA GÖTALANDS LÄN</t>
        </is>
      </c>
      <c r="E279" t="inlineStr">
        <is>
          <t>FALKÖPING</t>
        </is>
      </c>
      <c r="G279" t="n">
        <v>3.1</v>
      </c>
      <c r="H279" t="n">
        <v>0</v>
      </c>
      <c r="I279" t="n">
        <v>0</v>
      </c>
      <c r="J279" t="n">
        <v>0</v>
      </c>
      <c r="K279" t="n">
        <v>0</v>
      </c>
      <c r="L279" t="n">
        <v>0</v>
      </c>
      <c r="M279" t="n">
        <v>0</v>
      </c>
      <c r="N279" t="n">
        <v>0</v>
      </c>
      <c r="O279" t="n">
        <v>0</v>
      </c>
      <c r="P279" t="n">
        <v>0</v>
      </c>
      <c r="Q279" t="n">
        <v>0</v>
      </c>
      <c r="R279" s="2" t="inlineStr"/>
    </row>
    <row r="280" ht="15" customHeight="1">
      <c r="A280" t="inlineStr">
        <is>
          <t>A 32191-2024</t>
        </is>
      </c>
      <c r="B280" s="1" t="n">
        <v>45511</v>
      </c>
      <c r="C280" s="1" t="n">
        <v>46200</v>
      </c>
      <c r="D280" t="inlineStr">
        <is>
          <t>VÄSTRA GÖTALANDS LÄN</t>
        </is>
      </c>
      <c r="E280" t="inlineStr">
        <is>
          <t>FALKÖPING</t>
        </is>
      </c>
      <c r="G280" t="n">
        <v>2</v>
      </c>
      <c r="H280" t="n">
        <v>0</v>
      </c>
      <c r="I280" t="n">
        <v>0</v>
      </c>
      <c r="J280" t="n">
        <v>0</v>
      </c>
      <c r="K280" t="n">
        <v>0</v>
      </c>
      <c r="L280" t="n">
        <v>0</v>
      </c>
      <c r="M280" t="n">
        <v>0</v>
      </c>
      <c r="N280" t="n">
        <v>0</v>
      </c>
      <c r="O280" t="n">
        <v>0</v>
      </c>
      <c r="P280" t="n">
        <v>0</v>
      </c>
      <c r="Q280" t="n">
        <v>0</v>
      </c>
      <c r="R280" s="2" t="inlineStr"/>
    </row>
    <row r="281" ht="15" customHeight="1">
      <c r="A281" t="inlineStr">
        <is>
          <t>A 61457-2024</t>
        </is>
      </c>
      <c r="B281" s="1" t="n">
        <v>45646</v>
      </c>
      <c r="C281" s="1" t="n">
        <v>46200</v>
      </c>
      <c r="D281" t="inlineStr">
        <is>
          <t>VÄSTRA GÖTALANDS LÄN</t>
        </is>
      </c>
      <c r="E281" t="inlineStr">
        <is>
          <t>FALKÖPING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36628-2025</t>
        </is>
      </c>
      <c r="B282" s="1" t="n">
        <v>45870</v>
      </c>
      <c r="C282" s="1" t="n">
        <v>46200</v>
      </c>
      <c r="D282" t="inlineStr">
        <is>
          <t>VÄSTRA GÖTALANDS LÄN</t>
        </is>
      </c>
      <c r="E282" t="inlineStr">
        <is>
          <t>FALKÖPING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39854-2024</t>
        </is>
      </c>
      <c r="B283" s="1" t="n">
        <v>45553</v>
      </c>
      <c r="C283" s="1" t="n">
        <v>46200</v>
      </c>
      <c r="D283" t="inlineStr">
        <is>
          <t>VÄSTRA GÖTALANDS LÄN</t>
        </is>
      </c>
      <c r="E283" t="inlineStr">
        <is>
          <t>FALKÖPING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11440-2022</t>
        </is>
      </c>
      <c r="B284" s="1" t="n">
        <v>44630</v>
      </c>
      <c r="C284" s="1" t="n">
        <v>46200</v>
      </c>
      <c r="D284" t="inlineStr">
        <is>
          <t>VÄSTRA GÖTALANDS LÄN</t>
        </is>
      </c>
      <c r="E284" t="inlineStr">
        <is>
          <t>FALKÖPING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49544-2024</t>
        </is>
      </c>
      <c r="B285" s="1" t="n">
        <v>45596</v>
      </c>
      <c r="C285" s="1" t="n">
        <v>46200</v>
      </c>
      <c r="D285" t="inlineStr">
        <is>
          <t>VÄSTRA GÖTALANDS LÄN</t>
        </is>
      </c>
      <c r="E285" t="inlineStr">
        <is>
          <t>FALKÖPING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21003-2025</t>
        </is>
      </c>
      <c r="B286" s="1" t="n">
        <v>45777</v>
      </c>
      <c r="C286" s="1" t="n">
        <v>46200</v>
      </c>
      <c r="D286" t="inlineStr">
        <is>
          <t>VÄSTRA GÖTALANDS LÄN</t>
        </is>
      </c>
      <c r="E286" t="inlineStr">
        <is>
          <t>FALKÖPING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21031-2025</t>
        </is>
      </c>
      <c r="B287" s="1" t="n">
        <v>45777</v>
      </c>
      <c r="C287" s="1" t="n">
        <v>46200</v>
      </c>
      <c r="D287" t="inlineStr">
        <is>
          <t>VÄSTRA GÖTALANDS LÄN</t>
        </is>
      </c>
      <c r="E287" t="inlineStr">
        <is>
          <t>FALKÖPING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21001-2025</t>
        </is>
      </c>
      <c r="B288" s="1" t="n">
        <v>45777</v>
      </c>
      <c r="C288" s="1" t="n">
        <v>46200</v>
      </c>
      <c r="D288" t="inlineStr">
        <is>
          <t>VÄSTRA GÖTALANDS LÄN</t>
        </is>
      </c>
      <c r="E288" t="inlineStr">
        <is>
          <t>FALKÖPING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21030-2025</t>
        </is>
      </c>
      <c r="B289" s="1" t="n">
        <v>45777</v>
      </c>
      <c r="C289" s="1" t="n">
        <v>46200</v>
      </c>
      <c r="D289" t="inlineStr">
        <is>
          <t>VÄSTRA GÖTALANDS LÄN</t>
        </is>
      </c>
      <c r="E289" t="inlineStr">
        <is>
          <t>FALKÖPING</t>
        </is>
      </c>
      <c r="G289" t="n">
        <v>0.9</v>
      </c>
      <c r="H289" t="n">
        <v>0</v>
      </c>
      <c r="I289" t="n">
        <v>0</v>
      </c>
      <c r="J289" t="n">
        <v>0</v>
      </c>
      <c r="K289" t="n">
        <v>0</v>
      </c>
      <c r="L289" t="n">
        <v>0</v>
      </c>
      <c r="M289" t="n">
        <v>0</v>
      </c>
      <c r="N289" t="n">
        <v>0</v>
      </c>
      <c r="O289" t="n">
        <v>0</v>
      </c>
      <c r="P289" t="n">
        <v>0</v>
      </c>
      <c r="Q289" t="n">
        <v>0</v>
      </c>
      <c r="R289" s="2" t="inlineStr"/>
    </row>
    <row r="290" ht="15" customHeight="1">
      <c r="A290" t="inlineStr">
        <is>
          <t>A 18927-2022</t>
        </is>
      </c>
      <c r="B290" s="1" t="n">
        <v>44690</v>
      </c>
      <c r="C290" s="1" t="n">
        <v>46200</v>
      </c>
      <c r="D290" t="inlineStr">
        <is>
          <t>VÄSTRA GÖTALANDS LÄN</t>
        </is>
      </c>
      <c r="E290" t="inlineStr">
        <is>
          <t>FALKÖPING</t>
        </is>
      </c>
      <c r="F290" t="inlineStr">
        <is>
          <t>Kommuner</t>
        </is>
      </c>
      <c r="G290" t="n">
        <v>1.2</v>
      </c>
      <c r="H290" t="n">
        <v>0</v>
      </c>
      <c r="I290" t="n">
        <v>0</v>
      </c>
      <c r="J290" t="n">
        <v>0</v>
      </c>
      <c r="K290" t="n">
        <v>0</v>
      </c>
      <c r="L290" t="n">
        <v>0</v>
      </c>
      <c r="M290" t="n">
        <v>0</v>
      </c>
      <c r="N290" t="n">
        <v>0</v>
      </c>
      <c r="O290" t="n">
        <v>0</v>
      </c>
      <c r="P290" t="n">
        <v>0</v>
      </c>
      <c r="Q290" t="n">
        <v>0</v>
      </c>
      <c r="R290" s="2" t="inlineStr"/>
    </row>
    <row r="291" ht="15" customHeight="1">
      <c r="A291" t="inlineStr">
        <is>
          <t>A 43732-2021</t>
        </is>
      </c>
      <c r="B291" s="1" t="n">
        <v>44433</v>
      </c>
      <c r="C291" s="1" t="n">
        <v>46200</v>
      </c>
      <c r="D291" t="inlineStr">
        <is>
          <t>VÄSTRA GÖTALANDS LÄN</t>
        </is>
      </c>
      <c r="E291" t="inlineStr">
        <is>
          <t>FALKÖPING</t>
        </is>
      </c>
      <c r="G291" t="n">
        <v>3.7</v>
      </c>
      <c r="H291" t="n">
        <v>0</v>
      </c>
      <c r="I291" t="n">
        <v>0</v>
      </c>
      <c r="J291" t="n">
        <v>0</v>
      </c>
      <c r="K291" t="n">
        <v>0</v>
      </c>
      <c r="L291" t="n">
        <v>0</v>
      </c>
      <c r="M291" t="n">
        <v>0</v>
      </c>
      <c r="N291" t="n">
        <v>0</v>
      </c>
      <c r="O291" t="n">
        <v>0</v>
      </c>
      <c r="P291" t="n">
        <v>0</v>
      </c>
      <c r="Q291" t="n">
        <v>0</v>
      </c>
      <c r="R291" s="2" t="inlineStr"/>
    </row>
    <row r="292" ht="15" customHeight="1">
      <c r="A292" t="inlineStr">
        <is>
          <t>A 47855-2025</t>
        </is>
      </c>
      <c r="B292" s="1" t="n">
        <v>45932</v>
      </c>
      <c r="C292" s="1" t="n">
        <v>46200</v>
      </c>
      <c r="D292" t="inlineStr">
        <is>
          <t>VÄSTRA GÖTALANDS LÄN</t>
        </is>
      </c>
      <c r="E292" t="inlineStr">
        <is>
          <t>FALKÖPING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12754-2024</t>
        </is>
      </c>
      <c r="B293" s="1" t="n">
        <v>45384</v>
      </c>
      <c r="C293" s="1" t="n">
        <v>46200</v>
      </c>
      <c r="D293" t="inlineStr">
        <is>
          <t>VÄSTRA GÖTALANDS LÄN</t>
        </is>
      </c>
      <c r="E293" t="inlineStr">
        <is>
          <t>FALKÖPING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43728-2021</t>
        </is>
      </c>
      <c r="B294" s="1" t="n">
        <v>44433</v>
      </c>
      <c r="C294" s="1" t="n">
        <v>46200</v>
      </c>
      <c r="D294" t="inlineStr">
        <is>
          <t>VÄSTRA GÖTALANDS LÄN</t>
        </is>
      </c>
      <c r="E294" t="inlineStr">
        <is>
          <t>FALKÖPING</t>
        </is>
      </c>
      <c r="G294" t="n">
        <v>4.9</v>
      </c>
      <c r="H294" t="n">
        <v>0</v>
      </c>
      <c r="I294" t="n">
        <v>0</v>
      </c>
      <c r="J294" t="n">
        <v>0</v>
      </c>
      <c r="K294" t="n">
        <v>0</v>
      </c>
      <c r="L294" t="n">
        <v>0</v>
      </c>
      <c r="M294" t="n">
        <v>0</v>
      </c>
      <c r="N294" t="n">
        <v>0</v>
      </c>
      <c r="O294" t="n">
        <v>0</v>
      </c>
      <c r="P294" t="n">
        <v>0</v>
      </c>
      <c r="Q294" t="n">
        <v>0</v>
      </c>
      <c r="R294" s="2" t="inlineStr"/>
    </row>
    <row r="295" ht="15" customHeight="1">
      <c r="A295" t="inlineStr">
        <is>
          <t>A 48708-2025</t>
        </is>
      </c>
      <c r="B295" s="1" t="n">
        <v>45936</v>
      </c>
      <c r="C295" s="1" t="n">
        <v>46200</v>
      </c>
      <c r="D295" t="inlineStr">
        <is>
          <t>VÄSTRA GÖTALANDS LÄN</t>
        </is>
      </c>
      <c r="E295" t="inlineStr">
        <is>
          <t>FALKÖPING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48414-2025</t>
        </is>
      </c>
      <c r="B296" s="1" t="n">
        <v>45934</v>
      </c>
      <c r="C296" s="1" t="n">
        <v>46200</v>
      </c>
      <c r="D296" t="inlineStr">
        <is>
          <t>VÄSTRA GÖTALANDS LÄN</t>
        </is>
      </c>
      <c r="E296" t="inlineStr">
        <is>
          <t>FALKÖPING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48415-2025</t>
        </is>
      </c>
      <c r="B297" s="1" t="n">
        <v>45934</v>
      </c>
      <c r="C297" s="1" t="n">
        <v>46200</v>
      </c>
      <c r="D297" t="inlineStr">
        <is>
          <t>VÄSTRA GÖTALANDS LÄN</t>
        </is>
      </c>
      <c r="E297" t="inlineStr">
        <is>
          <t>FALKÖPING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8345-2024</t>
        </is>
      </c>
      <c r="B298" s="1" t="n">
        <v>45352</v>
      </c>
      <c r="C298" s="1" t="n">
        <v>46200</v>
      </c>
      <c r="D298" t="inlineStr">
        <is>
          <t>VÄSTRA GÖTALANDS LÄN</t>
        </is>
      </c>
      <c r="E298" t="inlineStr">
        <is>
          <t>FALKÖPING</t>
        </is>
      </c>
      <c r="G298" t="n">
        <v>1.4</v>
      </c>
      <c r="H298" t="n">
        <v>0</v>
      </c>
      <c r="I298" t="n">
        <v>0</v>
      </c>
      <c r="J298" t="n">
        <v>0</v>
      </c>
      <c r="K298" t="n">
        <v>0</v>
      </c>
      <c r="L298" t="n">
        <v>0</v>
      </c>
      <c r="M298" t="n">
        <v>0</v>
      </c>
      <c r="N298" t="n">
        <v>0</v>
      </c>
      <c r="O298" t="n">
        <v>0</v>
      </c>
      <c r="P298" t="n">
        <v>0</v>
      </c>
      <c r="Q298" t="n">
        <v>0</v>
      </c>
      <c r="R298" s="2" t="inlineStr"/>
    </row>
    <row r="299" ht="15" customHeight="1">
      <c r="A299" t="inlineStr">
        <is>
          <t>A 39294-2025</t>
        </is>
      </c>
      <c r="B299" s="1" t="n">
        <v>45889</v>
      </c>
      <c r="C299" s="1" t="n">
        <v>46200</v>
      </c>
      <c r="D299" t="inlineStr">
        <is>
          <t>VÄSTRA GÖTALANDS LÄN</t>
        </is>
      </c>
      <c r="E299" t="inlineStr">
        <is>
          <t>FALKÖPING</t>
        </is>
      </c>
      <c r="G299" t="n">
        <v>2.7</v>
      </c>
      <c r="H299" t="n">
        <v>0</v>
      </c>
      <c r="I299" t="n">
        <v>0</v>
      </c>
      <c r="J299" t="n">
        <v>0</v>
      </c>
      <c r="K299" t="n">
        <v>0</v>
      </c>
      <c r="L299" t="n">
        <v>0</v>
      </c>
      <c r="M299" t="n">
        <v>0</v>
      </c>
      <c r="N299" t="n">
        <v>0</v>
      </c>
      <c r="O299" t="n">
        <v>0</v>
      </c>
      <c r="P299" t="n">
        <v>0</v>
      </c>
      <c r="Q299" t="n">
        <v>0</v>
      </c>
      <c r="R299" s="2" t="inlineStr"/>
    </row>
    <row r="300" ht="15" customHeight="1">
      <c r="A300" t="inlineStr">
        <is>
          <t>A 39835-2025</t>
        </is>
      </c>
      <c r="B300" s="1" t="n">
        <v>45891</v>
      </c>
      <c r="C300" s="1" t="n">
        <v>46200</v>
      </c>
      <c r="D300" t="inlineStr">
        <is>
          <t>VÄSTRA GÖTALANDS LÄN</t>
        </is>
      </c>
      <c r="E300" t="inlineStr">
        <is>
          <t>FALKÖPING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49824-2025</t>
        </is>
      </c>
      <c r="B301" s="1" t="n">
        <v>45940</v>
      </c>
      <c r="C301" s="1" t="n">
        <v>46200</v>
      </c>
      <c r="D301" t="inlineStr">
        <is>
          <t>VÄSTRA GÖTALANDS LÄN</t>
        </is>
      </c>
      <c r="E301" t="inlineStr">
        <is>
          <t>FALKÖPING</t>
        </is>
      </c>
      <c r="G301" t="n">
        <v>5.7</v>
      </c>
      <c r="H301" t="n">
        <v>0</v>
      </c>
      <c r="I301" t="n">
        <v>0</v>
      </c>
      <c r="J301" t="n">
        <v>0</v>
      </c>
      <c r="K301" t="n">
        <v>0</v>
      </c>
      <c r="L301" t="n">
        <v>0</v>
      </c>
      <c r="M301" t="n">
        <v>0</v>
      </c>
      <c r="N301" t="n">
        <v>0</v>
      </c>
      <c r="O301" t="n">
        <v>0</v>
      </c>
      <c r="P301" t="n">
        <v>0</v>
      </c>
      <c r="Q301" t="n">
        <v>0</v>
      </c>
      <c r="R301" s="2" t="inlineStr"/>
    </row>
    <row r="302" ht="15" customHeight="1">
      <c r="A302" t="inlineStr">
        <is>
          <t>A 51029-2025</t>
        </is>
      </c>
      <c r="B302" s="1" t="n">
        <v>45947</v>
      </c>
      <c r="C302" s="1" t="n">
        <v>46200</v>
      </c>
      <c r="D302" t="inlineStr">
        <is>
          <t>VÄSTRA GÖTALANDS LÄN</t>
        </is>
      </c>
      <c r="E302" t="inlineStr">
        <is>
          <t>FALKÖPING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51292-2025</t>
        </is>
      </c>
      <c r="B303" s="1" t="n">
        <v>45950</v>
      </c>
      <c r="C303" s="1" t="n">
        <v>46200</v>
      </c>
      <c r="D303" t="inlineStr">
        <is>
          <t>VÄSTRA GÖTALANDS LÄN</t>
        </is>
      </c>
      <c r="E303" t="inlineStr">
        <is>
          <t>FALKÖPING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11869-2025</t>
        </is>
      </c>
      <c r="B304" s="1" t="n">
        <v>45728</v>
      </c>
      <c r="C304" s="1" t="n">
        <v>46200</v>
      </c>
      <c r="D304" t="inlineStr">
        <is>
          <t>VÄSTRA GÖTALANDS LÄN</t>
        </is>
      </c>
      <c r="E304" t="inlineStr">
        <is>
          <t>FALKÖPING</t>
        </is>
      </c>
      <c r="G304" t="n">
        <v>3.5</v>
      </c>
      <c r="H304" t="n">
        <v>0</v>
      </c>
      <c r="I304" t="n">
        <v>0</v>
      </c>
      <c r="J304" t="n">
        <v>0</v>
      </c>
      <c r="K304" t="n">
        <v>0</v>
      </c>
      <c r="L304" t="n">
        <v>0</v>
      </c>
      <c r="M304" t="n">
        <v>0</v>
      </c>
      <c r="N304" t="n">
        <v>0</v>
      </c>
      <c r="O304" t="n">
        <v>0</v>
      </c>
      <c r="P304" t="n">
        <v>0</v>
      </c>
      <c r="Q304" t="n">
        <v>0</v>
      </c>
      <c r="R304" s="2" t="inlineStr"/>
    </row>
    <row r="305" ht="15" customHeight="1">
      <c r="A305" t="inlineStr">
        <is>
          <t>A 42877-2025</t>
        </is>
      </c>
      <c r="B305" s="1" t="n">
        <v>45908</v>
      </c>
      <c r="C305" s="1" t="n">
        <v>46200</v>
      </c>
      <c r="D305" t="inlineStr">
        <is>
          <t>VÄSTRA GÖTALANDS LÄN</t>
        </is>
      </c>
      <c r="E305" t="inlineStr">
        <is>
          <t>FALKÖPING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37058-2024</t>
        </is>
      </c>
      <c r="B306" s="1" t="n">
        <v>45539</v>
      </c>
      <c r="C306" s="1" t="n">
        <v>46200</v>
      </c>
      <c r="D306" t="inlineStr">
        <is>
          <t>VÄSTRA GÖTALANDS LÄN</t>
        </is>
      </c>
      <c r="E306" t="inlineStr">
        <is>
          <t>FALKÖPING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8436-2025</t>
        </is>
      </c>
      <c r="B307" s="1" t="n">
        <v>45709</v>
      </c>
      <c r="C307" s="1" t="n">
        <v>46200</v>
      </c>
      <c r="D307" t="inlineStr">
        <is>
          <t>VÄSTRA GÖTALANDS LÄN</t>
        </is>
      </c>
      <c r="E307" t="inlineStr">
        <is>
          <t>FALKÖPING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17535-2025</t>
        </is>
      </c>
      <c r="B308" s="1" t="n">
        <v>45757</v>
      </c>
      <c r="C308" s="1" t="n">
        <v>46200</v>
      </c>
      <c r="D308" t="inlineStr">
        <is>
          <t>VÄSTRA GÖTALANDS LÄN</t>
        </is>
      </c>
      <c r="E308" t="inlineStr">
        <is>
          <t>FALKÖPING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18661-2024</t>
        </is>
      </c>
      <c r="B309" s="1" t="n">
        <v>45426</v>
      </c>
      <c r="C309" s="1" t="n">
        <v>46200</v>
      </c>
      <c r="D309" t="inlineStr">
        <is>
          <t>VÄSTRA GÖTALANDS LÄN</t>
        </is>
      </c>
      <c r="E309" t="inlineStr">
        <is>
          <t>FALKÖPING</t>
        </is>
      </c>
      <c r="G309" t="n">
        <v>1</v>
      </c>
      <c r="H309" t="n">
        <v>0</v>
      </c>
      <c r="I309" t="n">
        <v>0</v>
      </c>
      <c r="J309" t="n">
        <v>0</v>
      </c>
      <c r="K309" t="n">
        <v>0</v>
      </c>
      <c r="L309" t="n">
        <v>0</v>
      </c>
      <c r="M309" t="n">
        <v>0</v>
      </c>
      <c r="N309" t="n">
        <v>0</v>
      </c>
      <c r="O309" t="n">
        <v>0</v>
      </c>
      <c r="P309" t="n">
        <v>0</v>
      </c>
      <c r="Q309" t="n">
        <v>0</v>
      </c>
      <c r="R309" s="2" t="inlineStr"/>
    </row>
    <row r="310" ht="15" customHeight="1">
      <c r="A310" t="inlineStr">
        <is>
          <t>A 34456-2024</t>
        </is>
      </c>
      <c r="B310" s="1" t="n">
        <v>45525</v>
      </c>
      <c r="C310" s="1" t="n">
        <v>46200</v>
      </c>
      <c r="D310" t="inlineStr">
        <is>
          <t>VÄSTRA GÖTALANDS LÄN</t>
        </is>
      </c>
      <c r="E310" t="inlineStr">
        <is>
          <t>FALKÖPING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42997-2025</t>
        </is>
      </c>
      <c r="B311" s="1" t="n">
        <v>45909</v>
      </c>
      <c r="C311" s="1" t="n">
        <v>46200</v>
      </c>
      <c r="D311" t="inlineStr">
        <is>
          <t>VÄSTRA GÖTALANDS LÄN</t>
        </is>
      </c>
      <c r="E311" t="inlineStr">
        <is>
          <t>FALKÖPING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49278-2023</t>
        </is>
      </c>
      <c r="B312" s="1" t="n">
        <v>45210</v>
      </c>
      <c r="C312" s="1" t="n">
        <v>46200</v>
      </c>
      <c r="D312" t="inlineStr">
        <is>
          <t>VÄSTRA GÖTALANDS LÄN</t>
        </is>
      </c>
      <c r="E312" t="inlineStr">
        <is>
          <t>FALKÖPING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53159-2025</t>
        </is>
      </c>
      <c r="B313" s="1" t="n">
        <v>45958</v>
      </c>
      <c r="C313" s="1" t="n">
        <v>46200</v>
      </c>
      <c r="D313" t="inlineStr">
        <is>
          <t>VÄSTRA GÖTALANDS LÄN</t>
        </is>
      </c>
      <c r="E313" t="inlineStr">
        <is>
          <t>FALKÖPING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62710-2023</t>
        </is>
      </c>
      <c r="B314" s="1" t="n">
        <v>45271</v>
      </c>
      <c r="C314" s="1" t="n">
        <v>46200</v>
      </c>
      <c r="D314" t="inlineStr">
        <is>
          <t>VÄSTRA GÖTALANDS LÄN</t>
        </is>
      </c>
      <c r="E314" t="inlineStr">
        <is>
          <t>FALKÖPING</t>
        </is>
      </c>
      <c r="G314" t="n">
        <v>2.9</v>
      </c>
      <c r="H314" t="n">
        <v>0</v>
      </c>
      <c r="I314" t="n">
        <v>0</v>
      </c>
      <c r="J314" t="n">
        <v>0</v>
      </c>
      <c r="K314" t="n">
        <v>0</v>
      </c>
      <c r="L314" t="n">
        <v>0</v>
      </c>
      <c r="M314" t="n">
        <v>0</v>
      </c>
      <c r="N314" t="n">
        <v>0</v>
      </c>
      <c r="O314" t="n">
        <v>0</v>
      </c>
      <c r="P314" t="n">
        <v>0</v>
      </c>
      <c r="Q314" t="n">
        <v>0</v>
      </c>
      <c r="R314" s="2" t="inlineStr"/>
    </row>
    <row r="315" ht="15" customHeight="1">
      <c r="A315" t="inlineStr">
        <is>
          <t>A 53379-2025</t>
        </is>
      </c>
      <c r="B315" s="1" t="n">
        <v>45959</v>
      </c>
      <c r="C315" s="1" t="n">
        <v>46200</v>
      </c>
      <c r="D315" t="inlineStr">
        <is>
          <t>VÄSTRA GÖTALANDS LÄN</t>
        </is>
      </c>
      <c r="E315" t="inlineStr">
        <is>
          <t>FALKÖPING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60239-2024</t>
        </is>
      </c>
      <c r="B316" s="1" t="n">
        <v>45642</v>
      </c>
      <c r="C316" s="1" t="n">
        <v>46200</v>
      </c>
      <c r="D316" t="inlineStr">
        <is>
          <t>VÄSTRA GÖTALANDS LÄN</t>
        </is>
      </c>
      <c r="E316" t="inlineStr">
        <is>
          <t>FALKÖPING</t>
        </is>
      </c>
      <c r="G316" t="n">
        <v>0.3</v>
      </c>
      <c r="H316" t="n">
        <v>0</v>
      </c>
      <c r="I316" t="n">
        <v>0</v>
      </c>
      <c r="J316" t="n">
        <v>0</v>
      </c>
      <c r="K316" t="n">
        <v>0</v>
      </c>
      <c r="L316" t="n">
        <v>0</v>
      </c>
      <c r="M316" t="n">
        <v>0</v>
      </c>
      <c r="N316" t="n">
        <v>0</v>
      </c>
      <c r="O316" t="n">
        <v>0</v>
      </c>
      <c r="P316" t="n">
        <v>0</v>
      </c>
      <c r="Q316" t="n">
        <v>0</v>
      </c>
      <c r="R316" s="2" t="inlineStr"/>
    </row>
    <row r="317" ht="15" customHeight="1">
      <c r="A317" t="inlineStr">
        <is>
          <t>A 60240-2024</t>
        </is>
      </c>
      <c r="B317" s="1" t="n">
        <v>45642</v>
      </c>
      <c r="C317" s="1" t="n">
        <v>46200</v>
      </c>
      <c r="D317" t="inlineStr">
        <is>
          <t>VÄSTRA GÖTALANDS LÄN</t>
        </is>
      </c>
      <c r="E317" t="inlineStr">
        <is>
          <t>FALKÖPING</t>
        </is>
      </c>
      <c r="G317" t="n">
        <v>3</v>
      </c>
      <c r="H317" t="n">
        <v>0</v>
      </c>
      <c r="I317" t="n">
        <v>0</v>
      </c>
      <c r="J317" t="n">
        <v>0</v>
      </c>
      <c r="K317" t="n">
        <v>0</v>
      </c>
      <c r="L317" t="n">
        <v>0</v>
      </c>
      <c r="M317" t="n">
        <v>0</v>
      </c>
      <c r="N317" t="n">
        <v>0</v>
      </c>
      <c r="O317" t="n">
        <v>0</v>
      </c>
      <c r="P317" t="n">
        <v>0</v>
      </c>
      <c r="Q317" t="n">
        <v>0</v>
      </c>
      <c r="R317" s="2" t="inlineStr"/>
    </row>
    <row r="318" ht="15" customHeight="1">
      <c r="A318" t="inlineStr">
        <is>
          <t>A 53167-2025</t>
        </is>
      </c>
      <c r="B318" s="1" t="n">
        <v>45958</v>
      </c>
      <c r="C318" s="1" t="n">
        <v>46200</v>
      </c>
      <c r="D318" t="inlineStr">
        <is>
          <t>VÄSTRA GÖTALANDS LÄN</t>
        </is>
      </c>
      <c r="E318" t="inlineStr">
        <is>
          <t>FALKÖPING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64022-2023</t>
        </is>
      </c>
      <c r="B319" s="1" t="n">
        <v>45278</v>
      </c>
      <c r="C319" s="1" t="n">
        <v>46200</v>
      </c>
      <c r="D319" t="inlineStr">
        <is>
          <t>VÄSTRA GÖTALANDS LÄN</t>
        </is>
      </c>
      <c r="E319" t="inlineStr">
        <is>
          <t>FALKÖPING</t>
        </is>
      </c>
      <c r="G319" t="n">
        <v>4.1</v>
      </c>
      <c r="H319" t="n">
        <v>0</v>
      </c>
      <c r="I319" t="n">
        <v>0</v>
      </c>
      <c r="J319" t="n">
        <v>0</v>
      </c>
      <c r="K319" t="n">
        <v>0</v>
      </c>
      <c r="L319" t="n">
        <v>0</v>
      </c>
      <c r="M319" t="n">
        <v>0</v>
      </c>
      <c r="N319" t="n">
        <v>0</v>
      </c>
      <c r="O319" t="n">
        <v>0</v>
      </c>
      <c r="P319" t="n">
        <v>0</v>
      </c>
      <c r="Q319" t="n">
        <v>0</v>
      </c>
      <c r="R319" s="2" t="inlineStr"/>
    </row>
    <row r="320" ht="15" customHeight="1">
      <c r="A320" t="inlineStr">
        <is>
          <t>A 54578-2023</t>
        </is>
      </c>
      <c r="B320" s="1" t="n">
        <v>45233</v>
      </c>
      <c r="C320" s="1" t="n">
        <v>46200</v>
      </c>
      <c r="D320" t="inlineStr">
        <is>
          <t>VÄSTRA GÖTALANDS LÄN</t>
        </is>
      </c>
      <c r="E320" t="inlineStr">
        <is>
          <t>FALKÖPING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54884-2024</t>
        </is>
      </c>
      <c r="B321" s="1" t="n">
        <v>45618</v>
      </c>
      <c r="C321" s="1" t="n">
        <v>46200</v>
      </c>
      <c r="D321" t="inlineStr">
        <is>
          <t>VÄSTRA GÖTALANDS LÄN</t>
        </is>
      </c>
      <c r="E321" t="inlineStr">
        <is>
          <t>FALKÖPING</t>
        </is>
      </c>
      <c r="G321" t="n">
        <v>2.4</v>
      </c>
      <c r="H321" t="n">
        <v>0</v>
      </c>
      <c r="I321" t="n">
        <v>0</v>
      </c>
      <c r="J321" t="n">
        <v>0</v>
      </c>
      <c r="K321" t="n">
        <v>0</v>
      </c>
      <c r="L321" t="n">
        <v>0</v>
      </c>
      <c r="M321" t="n">
        <v>0</v>
      </c>
      <c r="N321" t="n">
        <v>0</v>
      </c>
      <c r="O321" t="n">
        <v>0</v>
      </c>
      <c r="P321" t="n">
        <v>0</v>
      </c>
      <c r="Q321" t="n">
        <v>0</v>
      </c>
      <c r="R321" s="2" t="inlineStr"/>
    </row>
    <row r="322" ht="15" customHeight="1">
      <c r="A322" t="inlineStr">
        <is>
          <t>A 25713-2023</t>
        </is>
      </c>
      <c r="B322" s="1" t="n">
        <v>45090</v>
      </c>
      <c r="C322" s="1" t="n">
        <v>46200</v>
      </c>
      <c r="D322" t="inlineStr">
        <is>
          <t>VÄSTRA GÖTALANDS LÄN</t>
        </is>
      </c>
      <c r="E322" t="inlineStr">
        <is>
          <t>FALKÖPING</t>
        </is>
      </c>
      <c r="G322" t="n">
        <v>3.2</v>
      </c>
      <c r="H322" t="n">
        <v>0</v>
      </c>
      <c r="I322" t="n">
        <v>0</v>
      </c>
      <c r="J322" t="n">
        <v>0</v>
      </c>
      <c r="K322" t="n">
        <v>0</v>
      </c>
      <c r="L322" t="n">
        <v>0</v>
      </c>
      <c r="M322" t="n">
        <v>0</v>
      </c>
      <c r="N322" t="n">
        <v>0</v>
      </c>
      <c r="O322" t="n">
        <v>0</v>
      </c>
      <c r="P322" t="n">
        <v>0</v>
      </c>
      <c r="Q322" t="n">
        <v>0</v>
      </c>
      <c r="R322" s="2" t="inlineStr"/>
    </row>
    <row r="323" ht="15" customHeight="1">
      <c r="A323" t="inlineStr">
        <is>
          <t>A 53701-2025</t>
        </is>
      </c>
      <c r="B323" s="1" t="n">
        <v>45960</v>
      </c>
      <c r="C323" s="1" t="n">
        <v>46200</v>
      </c>
      <c r="D323" t="inlineStr">
        <is>
          <t>VÄSTRA GÖTALANDS LÄN</t>
        </is>
      </c>
      <c r="E323" t="inlineStr">
        <is>
          <t>FALKÖPING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16347-2023</t>
        </is>
      </c>
      <c r="B324" s="1" t="n">
        <v>45028</v>
      </c>
      <c r="C324" s="1" t="n">
        <v>46200</v>
      </c>
      <c r="D324" t="inlineStr">
        <is>
          <t>VÄSTRA GÖTALANDS LÄN</t>
        </is>
      </c>
      <c r="E324" t="inlineStr">
        <is>
          <t>FALKÖPING</t>
        </is>
      </c>
      <c r="G324" t="n">
        <v>2.2</v>
      </c>
      <c r="H324" t="n">
        <v>0</v>
      </c>
      <c r="I324" t="n">
        <v>0</v>
      </c>
      <c r="J324" t="n">
        <v>0</v>
      </c>
      <c r="K324" t="n">
        <v>0</v>
      </c>
      <c r="L324" t="n">
        <v>0</v>
      </c>
      <c r="M324" t="n">
        <v>0</v>
      </c>
      <c r="N324" t="n">
        <v>0</v>
      </c>
      <c r="O324" t="n">
        <v>0</v>
      </c>
      <c r="P324" t="n">
        <v>0</v>
      </c>
      <c r="Q324" t="n">
        <v>0</v>
      </c>
      <c r="R324" s="2" t="inlineStr"/>
    </row>
    <row r="325" ht="15" customHeight="1">
      <c r="A325" t="inlineStr">
        <is>
          <t>A 14108-2025</t>
        </is>
      </c>
      <c r="B325" s="1" t="n">
        <v>45740</v>
      </c>
      <c r="C325" s="1" t="n">
        <v>46200</v>
      </c>
      <c r="D325" t="inlineStr">
        <is>
          <t>VÄSTRA GÖTALANDS LÄN</t>
        </is>
      </c>
      <c r="E325" t="inlineStr">
        <is>
          <t>FALKÖPING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14338-2025</t>
        </is>
      </c>
      <c r="B326" s="1" t="n">
        <v>45740</v>
      </c>
      <c r="C326" s="1" t="n">
        <v>46200</v>
      </c>
      <c r="D326" t="inlineStr">
        <is>
          <t>VÄSTRA GÖTALANDS LÄN</t>
        </is>
      </c>
      <c r="E326" t="inlineStr">
        <is>
          <t>FALKÖPING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4711-2025</t>
        </is>
      </c>
      <c r="B327" s="1" t="n">
        <v>45688</v>
      </c>
      <c r="C327" s="1" t="n">
        <v>46200</v>
      </c>
      <c r="D327" t="inlineStr">
        <is>
          <t>VÄSTRA GÖTALANDS LÄN</t>
        </is>
      </c>
      <c r="E327" t="inlineStr">
        <is>
          <t>FALKÖPING</t>
        </is>
      </c>
      <c r="G327" t="n">
        <v>3.3</v>
      </c>
      <c r="H327" t="n">
        <v>0</v>
      </c>
      <c r="I327" t="n">
        <v>0</v>
      </c>
      <c r="J327" t="n">
        <v>0</v>
      </c>
      <c r="K327" t="n">
        <v>0</v>
      </c>
      <c r="L327" t="n">
        <v>0</v>
      </c>
      <c r="M327" t="n">
        <v>0</v>
      </c>
      <c r="N327" t="n">
        <v>0</v>
      </c>
      <c r="O327" t="n">
        <v>0</v>
      </c>
      <c r="P327" t="n">
        <v>0</v>
      </c>
      <c r="Q327" t="n">
        <v>0</v>
      </c>
      <c r="R327" s="2" t="inlineStr"/>
    </row>
    <row r="328" ht="15" customHeight="1">
      <c r="A328" t="inlineStr">
        <is>
          <t>A 23846-2022</t>
        </is>
      </c>
      <c r="B328" s="1" t="n">
        <v>44722</v>
      </c>
      <c r="C328" s="1" t="n">
        <v>46200</v>
      </c>
      <c r="D328" t="inlineStr">
        <is>
          <t>VÄSTRA GÖTALANDS LÄN</t>
        </is>
      </c>
      <c r="E328" t="inlineStr">
        <is>
          <t>FALKÖPING</t>
        </is>
      </c>
      <c r="G328" t="n">
        <v>9.1</v>
      </c>
      <c r="H328" t="n">
        <v>0</v>
      </c>
      <c r="I328" t="n">
        <v>0</v>
      </c>
      <c r="J328" t="n">
        <v>0</v>
      </c>
      <c r="K328" t="n">
        <v>0</v>
      </c>
      <c r="L328" t="n">
        <v>0</v>
      </c>
      <c r="M328" t="n">
        <v>0</v>
      </c>
      <c r="N328" t="n">
        <v>0</v>
      </c>
      <c r="O328" t="n">
        <v>0</v>
      </c>
      <c r="P328" t="n">
        <v>0</v>
      </c>
      <c r="Q328" t="n">
        <v>0</v>
      </c>
      <c r="R328" s="2" t="inlineStr"/>
    </row>
    <row r="329" ht="15" customHeight="1">
      <c r="A329" t="inlineStr">
        <is>
          <t>A 6718-2025</t>
        </is>
      </c>
      <c r="B329" s="1" t="n">
        <v>45700</v>
      </c>
      <c r="C329" s="1" t="n">
        <v>46200</v>
      </c>
      <c r="D329" t="inlineStr">
        <is>
          <t>VÄSTRA GÖTALANDS LÄN</t>
        </is>
      </c>
      <c r="E329" t="inlineStr">
        <is>
          <t>FALKÖPING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6720-2025</t>
        </is>
      </c>
      <c r="B330" s="1" t="n">
        <v>45700</v>
      </c>
      <c r="C330" s="1" t="n">
        <v>46200</v>
      </c>
      <c r="D330" t="inlineStr">
        <is>
          <t>VÄSTRA GÖTALANDS LÄN</t>
        </is>
      </c>
      <c r="E330" t="inlineStr">
        <is>
          <t>FALKÖPING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54206-2025</t>
        </is>
      </c>
      <c r="B331" s="1" t="n">
        <v>45964</v>
      </c>
      <c r="C331" s="1" t="n">
        <v>46200</v>
      </c>
      <c r="D331" t="inlineStr">
        <is>
          <t>VÄSTRA GÖTALANDS LÄN</t>
        </is>
      </c>
      <c r="E331" t="inlineStr">
        <is>
          <t>FALKÖPING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24384-2025</t>
        </is>
      </c>
      <c r="B332" s="1" t="n">
        <v>45797</v>
      </c>
      <c r="C332" s="1" t="n">
        <v>46200</v>
      </c>
      <c r="D332" t="inlineStr">
        <is>
          <t>VÄSTRA GÖTALANDS LÄN</t>
        </is>
      </c>
      <c r="E332" t="inlineStr">
        <is>
          <t>FALKÖPING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23994-2025</t>
        </is>
      </c>
      <c r="B333" s="1" t="n">
        <v>45796</v>
      </c>
      <c r="C333" s="1" t="n">
        <v>46200</v>
      </c>
      <c r="D333" t="inlineStr">
        <is>
          <t>VÄSTRA GÖTALANDS LÄN</t>
        </is>
      </c>
      <c r="E333" t="inlineStr">
        <is>
          <t>FALKÖPING</t>
        </is>
      </c>
      <c r="G333" t="n">
        <v>6.9</v>
      </c>
      <c r="H333" t="n">
        <v>0</v>
      </c>
      <c r="I333" t="n">
        <v>0</v>
      </c>
      <c r="J333" t="n">
        <v>0</v>
      </c>
      <c r="K333" t="n">
        <v>0</v>
      </c>
      <c r="L333" t="n">
        <v>0</v>
      </c>
      <c r="M333" t="n">
        <v>0</v>
      </c>
      <c r="N333" t="n">
        <v>0</v>
      </c>
      <c r="O333" t="n">
        <v>0</v>
      </c>
      <c r="P333" t="n">
        <v>0</v>
      </c>
      <c r="Q333" t="n">
        <v>0</v>
      </c>
      <c r="R333" s="2" t="inlineStr"/>
    </row>
    <row r="334" ht="15" customHeight="1">
      <c r="A334" t="inlineStr">
        <is>
          <t>A 50722-2023</t>
        </is>
      </c>
      <c r="B334" s="1" t="n">
        <v>45217</v>
      </c>
      <c r="C334" s="1" t="n">
        <v>46200</v>
      </c>
      <c r="D334" t="inlineStr">
        <is>
          <t>VÄSTRA GÖTALANDS LÄN</t>
        </is>
      </c>
      <c r="E334" t="inlineStr">
        <is>
          <t>FALKÖPING</t>
        </is>
      </c>
      <c r="G334" t="n">
        <v>0.3</v>
      </c>
      <c r="H334" t="n">
        <v>0</v>
      </c>
      <c r="I334" t="n">
        <v>0</v>
      </c>
      <c r="J334" t="n">
        <v>0</v>
      </c>
      <c r="K334" t="n">
        <v>0</v>
      </c>
      <c r="L334" t="n">
        <v>0</v>
      </c>
      <c r="M334" t="n">
        <v>0</v>
      </c>
      <c r="N334" t="n">
        <v>0</v>
      </c>
      <c r="O334" t="n">
        <v>0</v>
      </c>
      <c r="P334" t="n">
        <v>0</v>
      </c>
      <c r="Q334" t="n">
        <v>0</v>
      </c>
      <c r="R334" s="2" t="inlineStr"/>
    </row>
    <row r="335" ht="15" customHeight="1">
      <c r="A335" t="inlineStr">
        <is>
          <t>A 44810-2025</t>
        </is>
      </c>
      <c r="B335" s="1" t="n">
        <v>45918</v>
      </c>
      <c r="C335" s="1" t="n">
        <v>46200</v>
      </c>
      <c r="D335" t="inlineStr">
        <is>
          <t>VÄSTRA GÖTALANDS LÄN</t>
        </is>
      </c>
      <c r="E335" t="inlineStr">
        <is>
          <t>FALKÖPING</t>
        </is>
      </c>
      <c r="F335" t="inlineStr">
        <is>
          <t>Kyrkan</t>
        </is>
      </c>
      <c r="G335" t="n">
        <v>5.4</v>
      </c>
      <c r="H335" t="n">
        <v>0</v>
      </c>
      <c r="I335" t="n">
        <v>0</v>
      </c>
      <c r="J335" t="n">
        <v>0</v>
      </c>
      <c r="K335" t="n">
        <v>0</v>
      </c>
      <c r="L335" t="n">
        <v>0</v>
      </c>
      <c r="M335" t="n">
        <v>0</v>
      </c>
      <c r="N335" t="n">
        <v>0</v>
      </c>
      <c r="O335" t="n">
        <v>0</v>
      </c>
      <c r="P335" t="n">
        <v>0</v>
      </c>
      <c r="Q335" t="n">
        <v>0</v>
      </c>
      <c r="R335" s="2" t="inlineStr"/>
    </row>
    <row r="336" ht="15" customHeight="1">
      <c r="A336" t="inlineStr">
        <is>
          <t>A 24380-2025</t>
        </is>
      </c>
      <c r="B336" s="1" t="n">
        <v>45797</v>
      </c>
      <c r="C336" s="1" t="n">
        <v>46200</v>
      </c>
      <c r="D336" t="inlineStr">
        <is>
          <t>VÄSTRA GÖTALANDS LÄN</t>
        </is>
      </c>
      <c r="E336" t="inlineStr">
        <is>
          <t>FALKÖPING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59075-2024</t>
        </is>
      </c>
      <c r="B337" s="1" t="n">
        <v>45637</v>
      </c>
      <c r="C337" s="1" t="n">
        <v>46200</v>
      </c>
      <c r="D337" t="inlineStr">
        <is>
          <t>VÄSTRA GÖTALANDS LÄN</t>
        </is>
      </c>
      <c r="E337" t="inlineStr">
        <is>
          <t>FALKÖPING</t>
        </is>
      </c>
      <c r="G337" t="n">
        <v>6.6</v>
      </c>
      <c r="H337" t="n">
        <v>0</v>
      </c>
      <c r="I337" t="n">
        <v>0</v>
      </c>
      <c r="J337" t="n">
        <v>0</v>
      </c>
      <c r="K337" t="n">
        <v>0</v>
      </c>
      <c r="L337" t="n">
        <v>0</v>
      </c>
      <c r="M337" t="n">
        <v>0</v>
      </c>
      <c r="N337" t="n">
        <v>0</v>
      </c>
      <c r="O337" t="n">
        <v>0</v>
      </c>
      <c r="P337" t="n">
        <v>0</v>
      </c>
      <c r="Q337" t="n">
        <v>0</v>
      </c>
      <c r="R337" s="2" t="inlineStr"/>
    </row>
    <row r="338" ht="15" customHeight="1">
      <c r="A338" t="inlineStr">
        <is>
          <t>A 46339-2025</t>
        </is>
      </c>
      <c r="B338" s="1" t="n">
        <v>45925</v>
      </c>
      <c r="C338" s="1" t="n">
        <v>46200</v>
      </c>
      <c r="D338" t="inlineStr">
        <is>
          <t>VÄSTRA GÖTALANDS LÄN</t>
        </is>
      </c>
      <c r="E338" t="inlineStr">
        <is>
          <t>FALKÖPING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46381-2025</t>
        </is>
      </c>
      <c r="B339" s="1" t="n">
        <v>45925</v>
      </c>
      <c r="C339" s="1" t="n">
        <v>46200</v>
      </c>
      <c r="D339" t="inlineStr">
        <is>
          <t>VÄSTRA GÖTALANDS LÄN</t>
        </is>
      </c>
      <c r="E339" t="inlineStr">
        <is>
          <t>FALKÖPING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45999-2025</t>
        </is>
      </c>
      <c r="B340" s="1" t="n">
        <v>45924</v>
      </c>
      <c r="C340" s="1" t="n">
        <v>46200</v>
      </c>
      <c r="D340" t="inlineStr">
        <is>
          <t>VÄSTRA GÖTALANDS LÄN</t>
        </is>
      </c>
      <c r="E340" t="inlineStr">
        <is>
          <t>FALKÖPING</t>
        </is>
      </c>
      <c r="G340" t="n">
        <v>10.3</v>
      </c>
      <c r="H340" t="n">
        <v>0</v>
      </c>
      <c r="I340" t="n">
        <v>0</v>
      </c>
      <c r="J340" t="n">
        <v>0</v>
      </c>
      <c r="K340" t="n">
        <v>0</v>
      </c>
      <c r="L340" t="n">
        <v>0</v>
      </c>
      <c r="M340" t="n">
        <v>0</v>
      </c>
      <c r="N340" t="n">
        <v>0</v>
      </c>
      <c r="O340" t="n">
        <v>0</v>
      </c>
      <c r="P340" t="n">
        <v>0</v>
      </c>
      <c r="Q340" t="n">
        <v>0</v>
      </c>
      <c r="R340" s="2" t="inlineStr"/>
    </row>
    <row r="341" ht="15" customHeight="1">
      <c r="A341" t="inlineStr">
        <is>
          <t>A 46338-2025</t>
        </is>
      </c>
      <c r="B341" s="1" t="n">
        <v>45925</v>
      </c>
      <c r="C341" s="1" t="n">
        <v>46200</v>
      </c>
      <c r="D341" t="inlineStr">
        <is>
          <t>VÄSTRA GÖTALANDS LÄN</t>
        </is>
      </c>
      <c r="E341" t="inlineStr">
        <is>
          <t>FALKÖPING</t>
        </is>
      </c>
      <c r="G341" t="n">
        <v>0.4</v>
      </c>
      <c r="H341" t="n">
        <v>0</v>
      </c>
      <c r="I341" t="n">
        <v>0</v>
      </c>
      <c r="J341" t="n">
        <v>0</v>
      </c>
      <c r="K341" t="n">
        <v>0</v>
      </c>
      <c r="L341" t="n">
        <v>0</v>
      </c>
      <c r="M341" t="n">
        <v>0</v>
      </c>
      <c r="N341" t="n">
        <v>0</v>
      </c>
      <c r="O341" t="n">
        <v>0</v>
      </c>
      <c r="P341" t="n">
        <v>0</v>
      </c>
      <c r="Q341" t="n">
        <v>0</v>
      </c>
      <c r="R341" s="2" t="inlineStr"/>
    </row>
    <row r="342" ht="15" customHeight="1">
      <c r="A342" t="inlineStr">
        <is>
          <t>A 46380-2025</t>
        </is>
      </c>
      <c r="B342" s="1" t="n">
        <v>45925</v>
      </c>
      <c r="C342" s="1" t="n">
        <v>46200</v>
      </c>
      <c r="D342" t="inlineStr">
        <is>
          <t>VÄSTRA GÖTALANDS LÄN</t>
        </is>
      </c>
      <c r="E342" t="inlineStr">
        <is>
          <t>FALKÖPING</t>
        </is>
      </c>
      <c r="G342" t="n">
        <v>1.1</v>
      </c>
      <c r="H342" t="n">
        <v>0</v>
      </c>
      <c r="I342" t="n">
        <v>0</v>
      </c>
      <c r="J342" t="n">
        <v>0</v>
      </c>
      <c r="K342" t="n">
        <v>0</v>
      </c>
      <c r="L342" t="n">
        <v>0</v>
      </c>
      <c r="M342" t="n">
        <v>0</v>
      </c>
      <c r="N342" t="n">
        <v>0</v>
      </c>
      <c r="O342" t="n">
        <v>0</v>
      </c>
      <c r="P342" t="n">
        <v>0</v>
      </c>
      <c r="Q342" t="n">
        <v>0</v>
      </c>
      <c r="R342" s="2" t="inlineStr"/>
    </row>
    <row r="343" ht="15" customHeight="1">
      <c r="A343" t="inlineStr">
        <is>
          <t>A 47048-2025</t>
        </is>
      </c>
      <c r="B343" s="1" t="n">
        <v>45929</v>
      </c>
      <c r="C343" s="1" t="n">
        <v>46200</v>
      </c>
      <c r="D343" t="inlineStr">
        <is>
          <t>VÄSTRA GÖTALANDS LÄN</t>
        </is>
      </c>
      <c r="E343" t="inlineStr">
        <is>
          <t>FALKÖPING</t>
        </is>
      </c>
      <c r="F343" t="inlineStr">
        <is>
          <t>Kyrkan</t>
        </is>
      </c>
      <c r="G343" t="n">
        <v>3</v>
      </c>
      <c r="H343" t="n">
        <v>0</v>
      </c>
      <c r="I343" t="n">
        <v>0</v>
      </c>
      <c r="J343" t="n">
        <v>0</v>
      </c>
      <c r="K343" t="n">
        <v>0</v>
      </c>
      <c r="L343" t="n">
        <v>0</v>
      </c>
      <c r="M343" t="n">
        <v>0</v>
      </c>
      <c r="N343" t="n">
        <v>0</v>
      </c>
      <c r="O343" t="n">
        <v>0</v>
      </c>
      <c r="P343" t="n">
        <v>0</v>
      </c>
      <c r="Q343" t="n">
        <v>0</v>
      </c>
      <c r="R343" s="2" t="inlineStr"/>
    </row>
    <row r="344" ht="15" customHeight="1">
      <c r="A344" t="inlineStr">
        <is>
          <t>A 24028-2025</t>
        </is>
      </c>
      <c r="B344" s="1" t="n">
        <v>45796</v>
      </c>
      <c r="C344" s="1" t="n">
        <v>46200</v>
      </c>
      <c r="D344" t="inlineStr">
        <is>
          <t>VÄSTRA GÖTALANDS LÄN</t>
        </is>
      </c>
      <c r="E344" t="inlineStr">
        <is>
          <t>FALKÖPING</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56938-2025</t>
        </is>
      </c>
      <c r="B345" s="1" t="n">
        <v>45978</v>
      </c>
      <c r="C345" s="1" t="n">
        <v>46200</v>
      </c>
      <c r="D345" t="inlineStr">
        <is>
          <t>VÄSTRA GÖTALANDS LÄN</t>
        </is>
      </c>
      <c r="E345" t="inlineStr">
        <is>
          <t>FALKÖPING</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47373-2025</t>
        </is>
      </c>
      <c r="B346" s="1" t="n">
        <v>45930</v>
      </c>
      <c r="C346" s="1" t="n">
        <v>46200</v>
      </c>
      <c r="D346" t="inlineStr">
        <is>
          <t>VÄSTRA GÖTALANDS LÄN</t>
        </is>
      </c>
      <c r="E346" t="inlineStr">
        <is>
          <t>FALKÖPING</t>
        </is>
      </c>
      <c r="G346" t="n">
        <v>1.6</v>
      </c>
      <c r="H346" t="n">
        <v>0</v>
      </c>
      <c r="I346" t="n">
        <v>0</v>
      </c>
      <c r="J346" t="n">
        <v>0</v>
      </c>
      <c r="K346" t="n">
        <v>0</v>
      </c>
      <c r="L346" t="n">
        <v>0</v>
      </c>
      <c r="M346" t="n">
        <v>0</v>
      </c>
      <c r="N346" t="n">
        <v>0</v>
      </c>
      <c r="O346" t="n">
        <v>0</v>
      </c>
      <c r="P346" t="n">
        <v>0</v>
      </c>
      <c r="Q346" t="n">
        <v>0</v>
      </c>
      <c r="R346" s="2" t="inlineStr"/>
    </row>
    <row r="347" ht="15" customHeight="1">
      <c r="A347" t="inlineStr">
        <is>
          <t>A 24703-2025</t>
        </is>
      </c>
      <c r="B347" s="1" t="n">
        <v>45798</v>
      </c>
      <c r="C347" s="1" t="n">
        <v>46200</v>
      </c>
      <c r="D347" t="inlineStr">
        <is>
          <t>VÄSTRA GÖTALANDS LÄN</t>
        </is>
      </c>
      <c r="E347" t="inlineStr">
        <is>
          <t>FALKÖPING</t>
        </is>
      </c>
      <c r="G347" t="n">
        <v>2.7</v>
      </c>
      <c r="H347" t="n">
        <v>0</v>
      </c>
      <c r="I347" t="n">
        <v>0</v>
      </c>
      <c r="J347" t="n">
        <v>0</v>
      </c>
      <c r="K347" t="n">
        <v>0</v>
      </c>
      <c r="L347" t="n">
        <v>0</v>
      </c>
      <c r="M347" t="n">
        <v>0</v>
      </c>
      <c r="N347" t="n">
        <v>0</v>
      </c>
      <c r="O347" t="n">
        <v>0</v>
      </c>
      <c r="P347" t="n">
        <v>0</v>
      </c>
      <c r="Q347" t="n">
        <v>0</v>
      </c>
      <c r="R347" s="2" t="inlineStr"/>
    </row>
    <row r="348" ht="15" customHeight="1">
      <c r="A348" t="inlineStr">
        <is>
          <t>A 59240-2025</t>
        </is>
      </c>
      <c r="B348" s="1" t="n">
        <v>45988</v>
      </c>
      <c r="C348" s="1" t="n">
        <v>46200</v>
      </c>
      <c r="D348" t="inlineStr">
        <is>
          <t>VÄSTRA GÖTALANDS LÄN</t>
        </is>
      </c>
      <c r="E348" t="inlineStr">
        <is>
          <t>FALKÖPING</t>
        </is>
      </c>
      <c r="G348" t="n">
        <v>2.9</v>
      </c>
      <c r="H348" t="n">
        <v>0</v>
      </c>
      <c r="I348" t="n">
        <v>0</v>
      </c>
      <c r="J348" t="n">
        <v>0</v>
      </c>
      <c r="K348" t="n">
        <v>0</v>
      </c>
      <c r="L348" t="n">
        <v>0</v>
      </c>
      <c r="M348" t="n">
        <v>0</v>
      </c>
      <c r="N348" t="n">
        <v>0</v>
      </c>
      <c r="O348" t="n">
        <v>0</v>
      </c>
      <c r="P348" t="n">
        <v>0</v>
      </c>
      <c r="Q348" t="n">
        <v>0</v>
      </c>
      <c r="R348" s="2" t="inlineStr"/>
    </row>
    <row r="349" ht="15" customHeight="1">
      <c r="A349" t="inlineStr">
        <is>
          <t>A 59237-2025</t>
        </is>
      </c>
      <c r="B349" s="1" t="n">
        <v>45988</v>
      </c>
      <c r="C349" s="1" t="n">
        <v>46200</v>
      </c>
      <c r="D349" t="inlineStr">
        <is>
          <t>VÄSTRA GÖTALANDS LÄN</t>
        </is>
      </c>
      <c r="E349" t="inlineStr">
        <is>
          <t>FALKÖPING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60274-2025</t>
        </is>
      </c>
      <c r="B350" s="1" t="n">
        <v>45994</v>
      </c>
      <c r="C350" s="1" t="n">
        <v>46200</v>
      </c>
      <c r="D350" t="inlineStr">
        <is>
          <t>VÄSTRA GÖTALANDS LÄN</t>
        </is>
      </c>
      <c r="E350" t="inlineStr">
        <is>
          <t>FALKÖPING</t>
        </is>
      </c>
      <c r="G350" t="n">
        <v>2</v>
      </c>
      <c r="H350" t="n">
        <v>0</v>
      </c>
      <c r="I350" t="n">
        <v>0</v>
      </c>
      <c r="J350" t="n">
        <v>0</v>
      </c>
      <c r="K350" t="n">
        <v>0</v>
      </c>
      <c r="L350" t="n">
        <v>0</v>
      </c>
      <c r="M350" t="n">
        <v>0</v>
      </c>
      <c r="N350" t="n">
        <v>0</v>
      </c>
      <c r="O350" t="n">
        <v>0</v>
      </c>
      <c r="P350" t="n">
        <v>0</v>
      </c>
      <c r="Q350" t="n">
        <v>0</v>
      </c>
      <c r="R350" s="2" t="inlineStr"/>
    </row>
    <row r="351" ht="15" customHeight="1">
      <c r="A351" t="inlineStr">
        <is>
          <t>A 60273-2025</t>
        </is>
      </c>
      <c r="B351" s="1" t="n">
        <v>45994</v>
      </c>
      <c r="C351" s="1" t="n">
        <v>46200</v>
      </c>
      <c r="D351" t="inlineStr">
        <is>
          <t>VÄSTRA GÖTALANDS LÄN</t>
        </is>
      </c>
      <c r="E351" t="inlineStr">
        <is>
          <t>FALKÖPING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60276-2025</t>
        </is>
      </c>
      <c r="B352" s="1" t="n">
        <v>45994</v>
      </c>
      <c r="C352" s="1" t="n">
        <v>46200</v>
      </c>
      <c r="D352" t="inlineStr">
        <is>
          <t>VÄSTRA GÖTALANDS LÄN</t>
        </is>
      </c>
      <c r="E352" t="inlineStr">
        <is>
          <t>FALKÖPING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25743-2025</t>
        </is>
      </c>
      <c r="B353" s="1" t="n">
        <v>45803</v>
      </c>
      <c r="C353" s="1" t="n">
        <v>46200</v>
      </c>
      <c r="D353" t="inlineStr">
        <is>
          <t>VÄSTRA GÖTALANDS LÄN</t>
        </is>
      </c>
      <c r="E353" t="inlineStr">
        <is>
          <t>FALKÖPING</t>
        </is>
      </c>
      <c r="G353" t="n">
        <v>4.6</v>
      </c>
      <c r="H353" t="n">
        <v>0</v>
      </c>
      <c r="I353" t="n">
        <v>0</v>
      </c>
      <c r="J353" t="n">
        <v>0</v>
      </c>
      <c r="K353" t="n">
        <v>0</v>
      </c>
      <c r="L353" t="n">
        <v>0</v>
      </c>
      <c r="M353" t="n">
        <v>0</v>
      </c>
      <c r="N353" t="n">
        <v>0</v>
      </c>
      <c r="O353" t="n">
        <v>0</v>
      </c>
      <c r="P353" t="n">
        <v>0</v>
      </c>
      <c r="Q353" t="n">
        <v>0</v>
      </c>
      <c r="R353" s="2" t="inlineStr"/>
    </row>
    <row r="354" ht="15" customHeight="1">
      <c r="A354" t="inlineStr">
        <is>
          <t>A 10460-2024</t>
        </is>
      </c>
      <c r="B354" s="1" t="n">
        <v>45366</v>
      </c>
      <c r="C354" s="1" t="n">
        <v>46200</v>
      </c>
      <c r="D354" t="inlineStr">
        <is>
          <t>VÄSTRA GÖTALANDS LÄN</t>
        </is>
      </c>
      <c r="E354" t="inlineStr">
        <is>
          <t>FALKÖPING</t>
        </is>
      </c>
      <c r="G354" t="n">
        <v>4.1</v>
      </c>
      <c r="H354" t="n">
        <v>0</v>
      </c>
      <c r="I354" t="n">
        <v>0</v>
      </c>
      <c r="J354" t="n">
        <v>0</v>
      </c>
      <c r="K354" t="n">
        <v>0</v>
      </c>
      <c r="L354" t="n">
        <v>0</v>
      </c>
      <c r="M354" t="n">
        <v>0</v>
      </c>
      <c r="N354" t="n">
        <v>0</v>
      </c>
      <c r="O354" t="n">
        <v>0</v>
      </c>
      <c r="P354" t="n">
        <v>0</v>
      </c>
      <c r="Q354" t="n">
        <v>0</v>
      </c>
      <c r="R354" s="2" t="inlineStr"/>
    </row>
    <row r="355" ht="15" customHeight="1">
      <c r="A355" t="inlineStr">
        <is>
          <t>A 26122-2025</t>
        </is>
      </c>
      <c r="B355" s="1" t="n">
        <v>45805</v>
      </c>
      <c r="C355" s="1" t="n">
        <v>46200</v>
      </c>
      <c r="D355" t="inlineStr">
        <is>
          <t>VÄSTRA GÖTALANDS LÄN</t>
        </is>
      </c>
      <c r="E355" t="inlineStr">
        <is>
          <t>FALKÖPING</t>
        </is>
      </c>
      <c r="G355" t="n">
        <v>2.8</v>
      </c>
      <c r="H355" t="n">
        <v>0</v>
      </c>
      <c r="I355" t="n">
        <v>0</v>
      </c>
      <c r="J355" t="n">
        <v>0</v>
      </c>
      <c r="K355" t="n">
        <v>0</v>
      </c>
      <c r="L355" t="n">
        <v>0</v>
      </c>
      <c r="M355" t="n">
        <v>0</v>
      </c>
      <c r="N355" t="n">
        <v>0</v>
      </c>
      <c r="O355" t="n">
        <v>0</v>
      </c>
      <c r="P355" t="n">
        <v>0</v>
      </c>
      <c r="Q355" t="n">
        <v>0</v>
      </c>
      <c r="R355" s="2" t="inlineStr"/>
    </row>
    <row r="356" ht="15" customHeight="1">
      <c r="A356" t="inlineStr">
        <is>
          <t>A 61994-2025</t>
        </is>
      </c>
      <c r="B356" s="1" t="n">
        <v>46003</v>
      </c>
      <c r="C356" s="1" t="n">
        <v>46200</v>
      </c>
      <c r="D356" t="inlineStr">
        <is>
          <t>VÄSTRA GÖTALANDS LÄN</t>
        </is>
      </c>
      <c r="E356" t="inlineStr">
        <is>
          <t>FALKÖPING</t>
        </is>
      </c>
      <c r="G356" t="n">
        <v>2.9</v>
      </c>
      <c r="H356" t="n">
        <v>0</v>
      </c>
      <c r="I356" t="n">
        <v>0</v>
      </c>
      <c r="J356" t="n">
        <v>0</v>
      </c>
      <c r="K356" t="n">
        <v>0</v>
      </c>
      <c r="L356" t="n">
        <v>0</v>
      </c>
      <c r="M356" t="n">
        <v>0</v>
      </c>
      <c r="N356" t="n">
        <v>0</v>
      </c>
      <c r="O356" t="n">
        <v>0</v>
      </c>
      <c r="P356" t="n">
        <v>0</v>
      </c>
      <c r="Q356" t="n">
        <v>0</v>
      </c>
      <c r="R356" s="2" t="inlineStr"/>
    </row>
    <row r="357" ht="15" customHeight="1">
      <c r="A357" t="inlineStr">
        <is>
          <t>A 62057-2025</t>
        </is>
      </c>
      <c r="B357" s="1" t="n">
        <v>46006</v>
      </c>
      <c r="C357" s="1" t="n">
        <v>46200</v>
      </c>
      <c r="D357" t="inlineStr">
        <is>
          <t>VÄSTRA GÖTALANDS LÄN</t>
        </is>
      </c>
      <c r="E357" t="inlineStr">
        <is>
          <t>FALKÖPING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62147-2025</t>
        </is>
      </c>
      <c r="B358" s="1" t="n">
        <v>46006</v>
      </c>
      <c r="C358" s="1" t="n">
        <v>46200</v>
      </c>
      <c r="D358" t="inlineStr">
        <is>
          <t>VÄSTRA GÖTALANDS LÄN</t>
        </is>
      </c>
      <c r="E358" t="inlineStr">
        <is>
          <t>FALKÖPING</t>
        </is>
      </c>
      <c r="G358" t="n">
        <v>2.9</v>
      </c>
      <c r="H358" t="n">
        <v>0</v>
      </c>
      <c r="I358" t="n">
        <v>0</v>
      </c>
      <c r="J358" t="n">
        <v>0</v>
      </c>
      <c r="K358" t="n">
        <v>0</v>
      </c>
      <c r="L358" t="n">
        <v>0</v>
      </c>
      <c r="M358" t="n">
        <v>0</v>
      </c>
      <c r="N358" t="n">
        <v>0</v>
      </c>
      <c r="O358" t="n">
        <v>0</v>
      </c>
      <c r="P358" t="n">
        <v>0</v>
      </c>
      <c r="Q358" t="n">
        <v>0</v>
      </c>
      <c r="R358" s="2" t="inlineStr"/>
    </row>
    <row r="359" ht="15" customHeight="1">
      <c r="A359" t="inlineStr">
        <is>
          <t>A 63334-2025</t>
        </is>
      </c>
      <c r="B359" s="1" t="n">
        <v>46010</v>
      </c>
      <c r="C359" s="1" t="n">
        <v>46200</v>
      </c>
      <c r="D359" t="inlineStr">
        <is>
          <t>VÄSTRA GÖTALANDS LÄN</t>
        </is>
      </c>
      <c r="E359" t="inlineStr">
        <is>
          <t>FALKÖPING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63342-2025</t>
        </is>
      </c>
      <c r="B360" s="1" t="n">
        <v>46010</v>
      </c>
      <c r="C360" s="1" t="n">
        <v>46200</v>
      </c>
      <c r="D360" t="inlineStr">
        <is>
          <t>VÄSTRA GÖTALANDS LÄN</t>
        </is>
      </c>
      <c r="E360" t="inlineStr">
        <is>
          <t>FALKÖPING</t>
        </is>
      </c>
      <c r="G360" t="n">
        <v>3.4</v>
      </c>
      <c r="H360" t="n">
        <v>0</v>
      </c>
      <c r="I360" t="n">
        <v>0</v>
      </c>
      <c r="J360" t="n">
        <v>0</v>
      </c>
      <c r="K360" t="n">
        <v>0</v>
      </c>
      <c r="L360" t="n">
        <v>0</v>
      </c>
      <c r="M360" t="n">
        <v>0</v>
      </c>
      <c r="N360" t="n">
        <v>0</v>
      </c>
      <c r="O360" t="n">
        <v>0</v>
      </c>
      <c r="P360" t="n">
        <v>0</v>
      </c>
      <c r="Q360" t="n">
        <v>0</v>
      </c>
      <c r="R360" s="2" t="inlineStr"/>
    </row>
    <row r="361" ht="15" customHeight="1">
      <c r="A361" t="inlineStr">
        <is>
          <t>A 34501-2023</t>
        </is>
      </c>
      <c r="B361" s="1" t="n">
        <v>45133</v>
      </c>
      <c r="C361" s="1" t="n">
        <v>46200</v>
      </c>
      <c r="D361" t="inlineStr">
        <is>
          <t>VÄSTRA GÖTALANDS LÄN</t>
        </is>
      </c>
      <c r="E361" t="inlineStr">
        <is>
          <t>FALKÖPING</t>
        </is>
      </c>
      <c r="G361" t="n">
        <v>2.3</v>
      </c>
      <c r="H361" t="n">
        <v>0</v>
      </c>
      <c r="I361" t="n">
        <v>0</v>
      </c>
      <c r="J361" t="n">
        <v>0</v>
      </c>
      <c r="K361" t="n">
        <v>0</v>
      </c>
      <c r="L361" t="n">
        <v>0</v>
      </c>
      <c r="M361" t="n">
        <v>0</v>
      </c>
      <c r="N361" t="n">
        <v>0</v>
      </c>
      <c r="O361" t="n">
        <v>0</v>
      </c>
      <c r="P361" t="n">
        <v>0</v>
      </c>
      <c r="Q361" t="n">
        <v>0</v>
      </c>
      <c r="R361" s="2" t="inlineStr"/>
    </row>
    <row r="362" ht="15" customHeight="1">
      <c r="A362" t="inlineStr">
        <is>
          <t>A 580-2026</t>
        </is>
      </c>
      <c r="B362" s="1" t="n">
        <v>46029</v>
      </c>
      <c r="C362" s="1" t="n">
        <v>46200</v>
      </c>
      <c r="D362" t="inlineStr">
        <is>
          <t>VÄSTRA GÖTALANDS LÄN</t>
        </is>
      </c>
      <c r="E362" t="inlineStr">
        <is>
          <t>FALKÖPING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556-2026</t>
        </is>
      </c>
      <c r="B363" s="1" t="n">
        <v>46029</v>
      </c>
      <c r="C363" s="1" t="n">
        <v>46200</v>
      </c>
      <c r="D363" t="inlineStr">
        <is>
          <t>VÄSTRA GÖTALANDS LÄN</t>
        </is>
      </c>
      <c r="E363" t="inlineStr">
        <is>
          <t>FALKÖPING</t>
        </is>
      </c>
      <c r="G363" t="n">
        <v>2.7</v>
      </c>
      <c r="H363" t="n">
        <v>0</v>
      </c>
      <c r="I363" t="n">
        <v>0</v>
      </c>
      <c r="J363" t="n">
        <v>0</v>
      </c>
      <c r="K363" t="n">
        <v>0</v>
      </c>
      <c r="L363" t="n">
        <v>0</v>
      </c>
      <c r="M363" t="n">
        <v>0</v>
      </c>
      <c r="N363" t="n">
        <v>0</v>
      </c>
      <c r="O363" t="n">
        <v>0</v>
      </c>
      <c r="P363" t="n">
        <v>0</v>
      </c>
      <c r="Q363" t="n">
        <v>0</v>
      </c>
      <c r="R363" s="2" t="inlineStr"/>
    </row>
    <row r="364" ht="15" customHeight="1">
      <c r="A364" t="inlineStr">
        <is>
          <t>A 2941-2026</t>
        </is>
      </c>
      <c r="B364" s="1" t="n">
        <v>46038</v>
      </c>
      <c r="C364" s="1" t="n">
        <v>46200</v>
      </c>
      <c r="D364" t="inlineStr">
        <is>
          <t>VÄSTRA GÖTALANDS LÄN</t>
        </is>
      </c>
      <c r="E364" t="inlineStr">
        <is>
          <t>FALKÖPING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3920-2026</t>
        </is>
      </c>
      <c r="B365" s="1" t="n">
        <v>46043</v>
      </c>
      <c r="C365" s="1" t="n">
        <v>46200</v>
      </c>
      <c r="D365" t="inlineStr">
        <is>
          <t>VÄSTRA GÖTALANDS LÄN</t>
        </is>
      </c>
      <c r="E365" t="inlineStr">
        <is>
          <t>FALKÖPING</t>
        </is>
      </c>
      <c r="G365" t="n">
        <v>2.4</v>
      </c>
      <c r="H365" t="n">
        <v>0</v>
      </c>
      <c r="I365" t="n">
        <v>0</v>
      </c>
      <c r="J365" t="n">
        <v>0</v>
      </c>
      <c r="K365" t="n">
        <v>0</v>
      </c>
      <c r="L365" t="n">
        <v>0</v>
      </c>
      <c r="M365" t="n">
        <v>0</v>
      </c>
      <c r="N365" t="n">
        <v>0</v>
      </c>
      <c r="O365" t="n">
        <v>0</v>
      </c>
      <c r="P365" t="n">
        <v>0</v>
      </c>
      <c r="Q365" t="n">
        <v>0</v>
      </c>
      <c r="R365" s="2" t="inlineStr"/>
    </row>
    <row r="366" ht="15" customHeight="1">
      <c r="A366" t="inlineStr">
        <is>
          <t>A 3563-2026</t>
        </is>
      </c>
      <c r="B366" s="1" t="n">
        <v>46042</v>
      </c>
      <c r="C366" s="1" t="n">
        <v>46200</v>
      </c>
      <c r="D366" t="inlineStr">
        <is>
          <t>VÄSTRA GÖTALANDS LÄN</t>
        </is>
      </c>
      <c r="E366" t="inlineStr">
        <is>
          <t>FALKÖPING</t>
        </is>
      </c>
      <c r="G366" t="n">
        <v>2.5</v>
      </c>
      <c r="H366" t="n">
        <v>0</v>
      </c>
      <c r="I366" t="n">
        <v>0</v>
      </c>
      <c r="J366" t="n">
        <v>0</v>
      </c>
      <c r="K366" t="n">
        <v>0</v>
      </c>
      <c r="L366" t="n">
        <v>0</v>
      </c>
      <c r="M366" t="n">
        <v>0</v>
      </c>
      <c r="N366" t="n">
        <v>0</v>
      </c>
      <c r="O366" t="n">
        <v>0</v>
      </c>
      <c r="P366" t="n">
        <v>0</v>
      </c>
      <c r="Q366" t="n">
        <v>0</v>
      </c>
      <c r="R366" s="2" t="inlineStr"/>
    </row>
    <row r="367" ht="15" customHeight="1">
      <c r="A367" t="inlineStr">
        <is>
          <t>A 3564-2026</t>
        </is>
      </c>
      <c r="B367" s="1" t="n">
        <v>46042</v>
      </c>
      <c r="C367" s="1" t="n">
        <v>46200</v>
      </c>
      <c r="D367" t="inlineStr">
        <is>
          <t>VÄSTRA GÖTALANDS LÄN</t>
        </is>
      </c>
      <c r="E367" t="inlineStr">
        <is>
          <t>FALKÖPING</t>
        </is>
      </c>
      <c r="G367" t="n">
        <v>2.2</v>
      </c>
      <c r="H367" t="n">
        <v>0</v>
      </c>
      <c r="I367" t="n">
        <v>0</v>
      </c>
      <c r="J367" t="n">
        <v>0</v>
      </c>
      <c r="K367" t="n">
        <v>0</v>
      </c>
      <c r="L367" t="n">
        <v>0</v>
      </c>
      <c r="M367" t="n">
        <v>0</v>
      </c>
      <c r="N367" t="n">
        <v>0</v>
      </c>
      <c r="O367" t="n">
        <v>0</v>
      </c>
      <c r="P367" t="n">
        <v>0</v>
      </c>
      <c r="Q367" t="n">
        <v>0</v>
      </c>
      <c r="R367" s="2" t="inlineStr"/>
    </row>
    <row r="368" ht="15" customHeight="1">
      <c r="A368" t="inlineStr">
        <is>
          <t>A 3722-2026</t>
        </is>
      </c>
      <c r="B368" s="1" t="n">
        <v>46043</v>
      </c>
      <c r="C368" s="1" t="n">
        <v>46200</v>
      </c>
      <c r="D368" t="inlineStr">
        <is>
          <t>VÄSTRA GÖTALANDS LÄN</t>
        </is>
      </c>
      <c r="E368" t="inlineStr">
        <is>
          <t>FALKÖPING</t>
        </is>
      </c>
      <c r="G368" t="n">
        <v>2.5</v>
      </c>
      <c r="H368" t="n">
        <v>0</v>
      </c>
      <c r="I368" t="n">
        <v>0</v>
      </c>
      <c r="J368" t="n">
        <v>0</v>
      </c>
      <c r="K368" t="n">
        <v>0</v>
      </c>
      <c r="L368" t="n">
        <v>0</v>
      </c>
      <c r="M368" t="n">
        <v>0</v>
      </c>
      <c r="N368" t="n">
        <v>0</v>
      </c>
      <c r="O368" t="n">
        <v>0</v>
      </c>
      <c r="P368" t="n">
        <v>0</v>
      </c>
      <c r="Q368" t="n">
        <v>0</v>
      </c>
      <c r="R368" s="2" t="inlineStr"/>
    </row>
    <row r="369" ht="15" customHeight="1">
      <c r="A369" t="inlineStr">
        <is>
          <t>A 3921-2026</t>
        </is>
      </c>
      <c r="B369" s="1" t="n">
        <v>46043</v>
      </c>
      <c r="C369" s="1" t="n">
        <v>46200</v>
      </c>
      <c r="D369" t="inlineStr">
        <is>
          <t>VÄSTRA GÖTALANDS LÄN</t>
        </is>
      </c>
      <c r="E369" t="inlineStr">
        <is>
          <t>FALKÖPING</t>
        </is>
      </c>
      <c r="G369" t="n">
        <v>2</v>
      </c>
      <c r="H369" t="n">
        <v>0</v>
      </c>
      <c r="I369" t="n">
        <v>0</v>
      </c>
      <c r="J369" t="n">
        <v>0</v>
      </c>
      <c r="K369" t="n">
        <v>0</v>
      </c>
      <c r="L369" t="n">
        <v>0</v>
      </c>
      <c r="M369" t="n">
        <v>0</v>
      </c>
      <c r="N369" t="n">
        <v>0</v>
      </c>
      <c r="O369" t="n">
        <v>0</v>
      </c>
      <c r="P369" t="n">
        <v>0</v>
      </c>
      <c r="Q369" t="n">
        <v>0</v>
      </c>
      <c r="R369" s="2" t="inlineStr"/>
    </row>
    <row r="370" ht="15" customHeight="1">
      <c r="A370" t="inlineStr">
        <is>
          <t>A 4485-2026</t>
        </is>
      </c>
      <c r="B370" s="1" t="n">
        <v>46045</v>
      </c>
      <c r="C370" s="1" t="n">
        <v>46200</v>
      </c>
      <c r="D370" t="inlineStr">
        <is>
          <t>VÄSTRA GÖTALANDS LÄN</t>
        </is>
      </c>
      <c r="E370" t="inlineStr">
        <is>
          <t>FALKÖPING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6281-2026</t>
        </is>
      </c>
      <c r="B371" s="1" t="n">
        <v>46055</v>
      </c>
      <c r="C371" s="1" t="n">
        <v>46200</v>
      </c>
      <c r="D371" t="inlineStr">
        <is>
          <t>VÄSTRA GÖTALANDS LÄN</t>
        </is>
      </c>
      <c r="E371" t="inlineStr">
        <is>
          <t>FALKÖPING</t>
        </is>
      </c>
      <c r="G371" t="n">
        <v>1.8</v>
      </c>
      <c r="H371" t="n">
        <v>0</v>
      </c>
      <c r="I371" t="n">
        <v>0</v>
      </c>
      <c r="J371" t="n">
        <v>0</v>
      </c>
      <c r="K371" t="n">
        <v>0</v>
      </c>
      <c r="L371" t="n">
        <v>0</v>
      </c>
      <c r="M371" t="n">
        <v>0</v>
      </c>
      <c r="N371" t="n">
        <v>0</v>
      </c>
      <c r="O371" t="n">
        <v>0</v>
      </c>
      <c r="P371" t="n">
        <v>0</v>
      </c>
      <c r="Q371" t="n">
        <v>0</v>
      </c>
      <c r="R371" s="2" t="inlineStr"/>
    </row>
    <row r="372" ht="15" customHeight="1">
      <c r="A372" t="inlineStr">
        <is>
          <t>A 6282-2026</t>
        </is>
      </c>
      <c r="B372" s="1" t="n">
        <v>46055</v>
      </c>
      <c r="C372" s="1" t="n">
        <v>46200</v>
      </c>
      <c r="D372" t="inlineStr">
        <is>
          <t>VÄSTRA GÖTALANDS LÄN</t>
        </is>
      </c>
      <c r="E372" t="inlineStr">
        <is>
          <t>FALKÖPING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7013-2026</t>
        </is>
      </c>
      <c r="B373" s="1" t="n">
        <v>46057</v>
      </c>
      <c r="C373" s="1" t="n">
        <v>46200</v>
      </c>
      <c r="D373" t="inlineStr">
        <is>
          <t>VÄSTRA GÖTALANDS LÄN</t>
        </is>
      </c>
      <c r="E373" t="inlineStr">
        <is>
          <t>FALKÖPING</t>
        </is>
      </c>
      <c r="G373" t="n">
        <v>5.1</v>
      </c>
      <c r="H373" t="n">
        <v>0</v>
      </c>
      <c r="I373" t="n">
        <v>0</v>
      </c>
      <c r="J373" t="n">
        <v>0</v>
      </c>
      <c r="K373" t="n">
        <v>0</v>
      </c>
      <c r="L373" t="n">
        <v>0</v>
      </c>
      <c r="M373" t="n">
        <v>0</v>
      </c>
      <c r="N373" t="n">
        <v>0</v>
      </c>
      <c r="O373" t="n">
        <v>0</v>
      </c>
      <c r="P373" t="n">
        <v>0</v>
      </c>
      <c r="Q373" t="n">
        <v>0</v>
      </c>
      <c r="R373" s="2" t="inlineStr"/>
    </row>
    <row r="374" ht="15" customHeight="1">
      <c r="A374" t="inlineStr">
        <is>
          <t>A 7380-2026</t>
        </is>
      </c>
      <c r="B374" s="1" t="n">
        <v>46059</v>
      </c>
      <c r="C374" s="1" t="n">
        <v>46200</v>
      </c>
      <c r="D374" t="inlineStr">
        <is>
          <t>VÄSTRA GÖTALANDS LÄN</t>
        </is>
      </c>
      <c r="E374" t="inlineStr">
        <is>
          <t>FALKÖPING</t>
        </is>
      </c>
      <c r="G374" t="n">
        <v>1</v>
      </c>
      <c r="H374" t="n">
        <v>0</v>
      </c>
      <c r="I374" t="n">
        <v>0</v>
      </c>
      <c r="J374" t="n">
        <v>0</v>
      </c>
      <c r="K374" t="n">
        <v>0</v>
      </c>
      <c r="L374" t="n">
        <v>0</v>
      </c>
      <c r="M374" t="n">
        <v>0</v>
      </c>
      <c r="N374" t="n">
        <v>0</v>
      </c>
      <c r="O374" t="n">
        <v>0</v>
      </c>
      <c r="P374" t="n">
        <v>0</v>
      </c>
      <c r="Q374" t="n">
        <v>0</v>
      </c>
      <c r="R374" s="2" t="inlineStr"/>
    </row>
    <row r="375" ht="15" customHeight="1">
      <c r="A375" t="inlineStr">
        <is>
          <t>A 8077-2026</t>
        </is>
      </c>
      <c r="B375" s="1" t="n">
        <v>46063</v>
      </c>
      <c r="C375" s="1" t="n">
        <v>46200</v>
      </c>
      <c r="D375" t="inlineStr">
        <is>
          <t>VÄSTRA GÖTALANDS LÄN</t>
        </is>
      </c>
      <c r="E375" t="inlineStr">
        <is>
          <t>FALKÖPING</t>
        </is>
      </c>
      <c r="G375" t="n">
        <v>1.8</v>
      </c>
      <c r="H375" t="n">
        <v>0</v>
      </c>
      <c r="I375" t="n">
        <v>0</v>
      </c>
      <c r="J375" t="n">
        <v>0</v>
      </c>
      <c r="K375" t="n">
        <v>0</v>
      </c>
      <c r="L375" t="n">
        <v>0</v>
      </c>
      <c r="M375" t="n">
        <v>0</v>
      </c>
      <c r="N375" t="n">
        <v>0</v>
      </c>
      <c r="O375" t="n">
        <v>0</v>
      </c>
      <c r="P375" t="n">
        <v>0</v>
      </c>
      <c r="Q375" t="n">
        <v>0</v>
      </c>
      <c r="R375" s="2" t="inlineStr"/>
    </row>
    <row r="376" ht="15" customHeight="1">
      <c r="A376" t="inlineStr">
        <is>
          <t>A 12081-2025</t>
        </is>
      </c>
      <c r="B376" s="1" t="n">
        <v>45728</v>
      </c>
      <c r="C376" s="1" t="n">
        <v>46200</v>
      </c>
      <c r="D376" t="inlineStr">
        <is>
          <t>VÄSTRA GÖTALANDS LÄN</t>
        </is>
      </c>
      <c r="E376" t="inlineStr">
        <is>
          <t>FALKÖPING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9244-2026</t>
        </is>
      </c>
      <c r="B377" s="1" t="n">
        <v>46069</v>
      </c>
      <c r="C377" s="1" t="n">
        <v>46200</v>
      </c>
      <c r="D377" t="inlineStr">
        <is>
          <t>VÄSTRA GÖTALANDS LÄN</t>
        </is>
      </c>
      <c r="E377" t="inlineStr">
        <is>
          <t>FALKÖPING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9079-2026</t>
        </is>
      </c>
      <c r="B378" s="1" t="n">
        <v>46069</v>
      </c>
      <c r="C378" s="1" t="n">
        <v>46200</v>
      </c>
      <c r="D378" t="inlineStr">
        <is>
          <t>VÄSTRA GÖTALANDS LÄN</t>
        </is>
      </c>
      <c r="E378" t="inlineStr">
        <is>
          <t>FALKÖPING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9411-2026</t>
        </is>
      </c>
      <c r="B379" s="1" t="n">
        <v>46071</v>
      </c>
      <c r="C379" s="1" t="n">
        <v>46200</v>
      </c>
      <c r="D379" t="inlineStr">
        <is>
          <t>VÄSTRA GÖTALANDS LÄN</t>
        </is>
      </c>
      <c r="E379" t="inlineStr">
        <is>
          <t>FALKÖPING</t>
        </is>
      </c>
      <c r="G379" t="n">
        <v>3.4</v>
      </c>
      <c r="H379" t="n">
        <v>0</v>
      </c>
      <c r="I379" t="n">
        <v>0</v>
      </c>
      <c r="J379" t="n">
        <v>0</v>
      </c>
      <c r="K379" t="n">
        <v>0</v>
      </c>
      <c r="L379" t="n">
        <v>0</v>
      </c>
      <c r="M379" t="n">
        <v>0</v>
      </c>
      <c r="N379" t="n">
        <v>0</v>
      </c>
      <c r="O379" t="n">
        <v>0</v>
      </c>
      <c r="P379" t="n">
        <v>0</v>
      </c>
      <c r="Q379" t="n">
        <v>0</v>
      </c>
      <c r="R379" s="2" t="inlineStr"/>
    </row>
    <row r="380" ht="15" customHeight="1">
      <c r="A380" t="inlineStr">
        <is>
          <t>A 9682-2026</t>
        </is>
      </c>
      <c r="B380" s="1" t="n">
        <v>46072</v>
      </c>
      <c r="C380" s="1" t="n">
        <v>46200</v>
      </c>
      <c r="D380" t="inlineStr">
        <is>
          <t>VÄSTRA GÖTALANDS LÄN</t>
        </is>
      </c>
      <c r="E380" t="inlineStr">
        <is>
          <t>FALKÖPING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10106-2026</t>
        </is>
      </c>
      <c r="B381" s="1" t="n">
        <v>46074</v>
      </c>
      <c r="C381" s="1" t="n">
        <v>46200</v>
      </c>
      <c r="D381" t="inlineStr">
        <is>
          <t>VÄSTRA GÖTALANDS LÄN</t>
        </is>
      </c>
      <c r="E381" t="inlineStr">
        <is>
          <t>FALKÖPING</t>
        </is>
      </c>
      <c r="G381" t="n">
        <v>4.5</v>
      </c>
      <c r="H381" t="n">
        <v>0</v>
      </c>
      <c r="I381" t="n">
        <v>0</v>
      </c>
      <c r="J381" t="n">
        <v>0</v>
      </c>
      <c r="K381" t="n">
        <v>0</v>
      </c>
      <c r="L381" t="n">
        <v>0</v>
      </c>
      <c r="M381" t="n">
        <v>0</v>
      </c>
      <c r="N381" t="n">
        <v>0</v>
      </c>
      <c r="O381" t="n">
        <v>0</v>
      </c>
      <c r="P381" t="n">
        <v>0</v>
      </c>
      <c r="Q381" t="n">
        <v>0</v>
      </c>
      <c r="R381" s="2" t="inlineStr"/>
    </row>
    <row r="382" ht="15" customHeight="1">
      <c r="A382" t="inlineStr">
        <is>
          <t>A 12548-2026</t>
        </is>
      </c>
      <c r="B382" s="1" t="n">
        <v>46090</v>
      </c>
      <c r="C382" s="1" t="n">
        <v>46200</v>
      </c>
      <c r="D382" t="inlineStr">
        <is>
          <t>VÄSTRA GÖTALANDS LÄN</t>
        </is>
      </c>
      <c r="E382" t="inlineStr">
        <is>
          <t>FALKÖPING</t>
        </is>
      </c>
      <c r="G382" t="n">
        <v>5.2</v>
      </c>
      <c r="H382" t="n">
        <v>0</v>
      </c>
      <c r="I382" t="n">
        <v>0</v>
      </c>
      <c r="J382" t="n">
        <v>0</v>
      </c>
      <c r="K382" t="n">
        <v>0</v>
      </c>
      <c r="L382" t="n">
        <v>0</v>
      </c>
      <c r="M382" t="n">
        <v>0</v>
      </c>
      <c r="N382" t="n">
        <v>0</v>
      </c>
      <c r="O382" t="n">
        <v>0</v>
      </c>
      <c r="P382" t="n">
        <v>0</v>
      </c>
      <c r="Q382" t="n">
        <v>0</v>
      </c>
      <c r="R382" s="2" t="inlineStr"/>
    </row>
    <row r="383" ht="15" customHeight="1">
      <c r="A383" t="inlineStr">
        <is>
          <t>A 12559-2026</t>
        </is>
      </c>
      <c r="B383" s="1" t="n">
        <v>46090</v>
      </c>
      <c r="C383" s="1" t="n">
        <v>46200</v>
      </c>
      <c r="D383" t="inlineStr">
        <is>
          <t>VÄSTRA GÖTALANDS LÄN</t>
        </is>
      </c>
      <c r="E383" t="inlineStr">
        <is>
          <t>FALKÖPING</t>
        </is>
      </c>
      <c r="G383" t="n">
        <v>2.1</v>
      </c>
      <c r="H383" t="n">
        <v>0</v>
      </c>
      <c r="I383" t="n">
        <v>0</v>
      </c>
      <c r="J383" t="n">
        <v>0</v>
      </c>
      <c r="K383" t="n">
        <v>0</v>
      </c>
      <c r="L383" t="n">
        <v>0</v>
      </c>
      <c r="M383" t="n">
        <v>0</v>
      </c>
      <c r="N383" t="n">
        <v>0</v>
      </c>
      <c r="O383" t="n">
        <v>0</v>
      </c>
      <c r="P383" t="n">
        <v>0</v>
      </c>
      <c r="Q383" t="n">
        <v>0</v>
      </c>
      <c r="R383" s="2" t="inlineStr"/>
    </row>
    <row r="384" ht="15" customHeight="1">
      <c r="A384" t="inlineStr">
        <is>
          <t>A 13385-2026</t>
        </is>
      </c>
      <c r="B384" s="1" t="n">
        <v>46094</v>
      </c>
      <c r="C384" s="1" t="n">
        <v>46200</v>
      </c>
      <c r="D384" t="inlineStr">
        <is>
          <t>VÄSTRA GÖTALANDS LÄN</t>
        </is>
      </c>
      <c r="E384" t="inlineStr">
        <is>
          <t>FALKÖPING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13241-2026</t>
        </is>
      </c>
      <c r="B385" s="1" t="n">
        <v>46093</v>
      </c>
      <c r="C385" s="1" t="n">
        <v>46200</v>
      </c>
      <c r="D385" t="inlineStr">
        <is>
          <t>VÄSTRA GÖTALANDS LÄN</t>
        </is>
      </c>
      <c r="E385" t="inlineStr">
        <is>
          <t>FALKÖPING</t>
        </is>
      </c>
      <c r="G385" t="n">
        <v>2.2</v>
      </c>
      <c r="H385" t="n">
        <v>0</v>
      </c>
      <c r="I385" t="n">
        <v>0</v>
      </c>
      <c r="J385" t="n">
        <v>0</v>
      </c>
      <c r="K385" t="n">
        <v>0</v>
      </c>
      <c r="L385" t="n">
        <v>0</v>
      </c>
      <c r="M385" t="n">
        <v>0</v>
      </c>
      <c r="N385" t="n">
        <v>0</v>
      </c>
      <c r="O385" t="n">
        <v>0</v>
      </c>
      <c r="P385" t="n">
        <v>0</v>
      </c>
      <c r="Q385" t="n">
        <v>0</v>
      </c>
      <c r="R385" s="2" t="inlineStr"/>
    </row>
    <row r="386" ht="15" customHeight="1">
      <c r="A386" t="inlineStr">
        <is>
          <t>A 14656-2026</t>
        </is>
      </c>
      <c r="B386" s="1" t="n">
        <v>46101</v>
      </c>
      <c r="C386" s="1" t="n">
        <v>46200</v>
      </c>
      <c r="D386" t="inlineStr">
        <is>
          <t>VÄSTRA GÖTALANDS LÄN</t>
        </is>
      </c>
      <c r="E386" t="inlineStr">
        <is>
          <t>FALKÖPING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17122-2026</t>
        </is>
      </c>
      <c r="B387" s="1" t="n">
        <v>46114</v>
      </c>
      <c r="C387" s="1" t="n">
        <v>46200</v>
      </c>
      <c r="D387" t="inlineStr">
        <is>
          <t>VÄSTRA GÖTALANDS LÄN</t>
        </is>
      </c>
      <c r="E387" t="inlineStr">
        <is>
          <t>FALKÖPING</t>
        </is>
      </c>
      <c r="G387" t="n">
        <v>2.9</v>
      </c>
      <c r="H387" t="n">
        <v>0</v>
      </c>
      <c r="I387" t="n">
        <v>0</v>
      </c>
      <c r="J387" t="n">
        <v>0</v>
      </c>
      <c r="K387" t="n">
        <v>0</v>
      </c>
      <c r="L387" t="n">
        <v>0</v>
      </c>
      <c r="M387" t="n">
        <v>0</v>
      </c>
      <c r="N387" t="n">
        <v>0</v>
      </c>
      <c r="O387" t="n">
        <v>0</v>
      </c>
      <c r="P387" t="n">
        <v>0</v>
      </c>
      <c r="Q387" t="n">
        <v>0</v>
      </c>
      <c r="R387" s="2" t="inlineStr"/>
    </row>
    <row r="388" ht="15" customHeight="1">
      <c r="A388" t="inlineStr">
        <is>
          <t>A 16922-2026</t>
        </is>
      </c>
      <c r="B388" s="1" t="n">
        <v>46113</v>
      </c>
      <c r="C388" s="1" t="n">
        <v>46200</v>
      </c>
      <c r="D388" t="inlineStr">
        <is>
          <t>VÄSTRA GÖTALANDS LÄN</t>
        </is>
      </c>
      <c r="E388" t="inlineStr">
        <is>
          <t>FALKÖPING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17289-2026</t>
        </is>
      </c>
      <c r="B389" s="1" t="n">
        <v>46119</v>
      </c>
      <c r="C389" s="1" t="n">
        <v>46200</v>
      </c>
      <c r="D389" t="inlineStr">
        <is>
          <t>VÄSTRA GÖTALANDS LÄN</t>
        </is>
      </c>
      <c r="E389" t="inlineStr">
        <is>
          <t>FALKÖPING</t>
        </is>
      </c>
      <c r="G389" t="n">
        <v>2.6</v>
      </c>
      <c r="H389" t="n">
        <v>0</v>
      </c>
      <c r="I389" t="n">
        <v>0</v>
      </c>
      <c r="J389" t="n">
        <v>0</v>
      </c>
      <c r="K389" t="n">
        <v>0</v>
      </c>
      <c r="L389" t="n">
        <v>0</v>
      </c>
      <c r="M389" t="n">
        <v>0</v>
      </c>
      <c r="N389" t="n">
        <v>0</v>
      </c>
      <c r="O389" t="n">
        <v>0</v>
      </c>
      <c r="P389" t="n">
        <v>0</v>
      </c>
      <c r="Q389" t="n">
        <v>0</v>
      </c>
      <c r="R389" s="2" t="inlineStr"/>
    </row>
    <row r="390" ht="15" customHeight="1">
      <c r="A390" t="inlineStr">
        <is>
          <t>A 23443-2026</t>
        </is>
      </c>
      <c r="B390" s="1" t="n">
        <v>46163</v>
      </c>
      <c r="C390" s="1" t="n">
        <v>46200</v>
      </c>
      <c r="D390" t="inlineStr">
        <is>
          <t>VÄSTRA GÖTALANDS LÄN</t>
        </is>
      </c>
      <c r="E390" t="inlineStr">
        <is>
          <t>FALKÖPING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23661-2026</t>
        </is>
      </c>
      <c r="B391" s="1" t="n">
        <v>46164</v>
      </c>
      <c r="C391" s="1" t="n">
        <v>46200</v>
      </c>
      <c r="D391" t="inlineStr">
        <is>
          <t>VÄSTRA GÖTALANDS LÄN</t>
        </is>
      </c>
      <c r="E391" t="inlineStr">
        <is>
          <t>FALKÖPING</t>
        </is>
      </c>
      <c r="G391" t="n">
        <v>1.4</v>
      </c>
      <c r="H391" t="n">
        <v>0</v>
      </c>
      <c r="I391" t="n">
        <v>0</v>
      </c>
      <c r="J391" t="n">
        <v>0</v>
      </c>
      <c r="K391" t="n">
        <v>0</v>
      </c>
      <c r="L391" t="n">
        <v>0</v>
      </c>
      <c r="M391" t="n">
        <v>0</v>
      </c>
      <c r="N391" t="n">
        <v>0</v>
      </c>
      <c r="O391" t="n">
        <v>0</v>
      </c>
      <c r="P391" t="n">
        <v>0</v>
      </c>
      <c r="Q391" t="n">
        <v>0</v>
      </c>
      <c r="R391" s="2" t="inlineStr"/>
    </row>
    <row r="392" ht="15" customHeight="1">
      <c r="A392" t="inlineStr">
        <is>
          <t>A 18303-2026</t>
        </is>
      </c>
      <c r="B392" s="1" t="n">
        <v>46126</v>
      </c>
      <c r="C392" s="1" t="n">
        <v>46200</v>
      </c>
      <c r="D392" t="inlineStr">
        <is>
          <t>VÄSTRA GÖTALANDS LÄN</t>
        </is>
      </c>
      <c r="E392" t="inlineStr">
        <is>
          <t>FALKÖPING</t>
        </is>
      </c>
      <c r="G392" t="n">
        <v>0.9</v>
      </c>
      <c r="H392" t="n">
        <v>0</v>
      </c>
      <c r="I392" t="n">
        <v>0</v>
      </c>
      <c r="J392" t="n">
        <v>0</v>
      </c>
      <c r="K392" t="n">
        <v>0</v>
      </c>
      <c r="L392" t="n">
        <v>0</v>
      </c>
      <c r="M392" t="n">
        <v>0</v>
      </c>
      <c r="N392" t="n">
        <v>0</v>
      </c>
      <c r="O392" t="n">
        <v>0</v>
      </c>
      <c r="P392" t="n">
        <v>0</v>
      </c>
      <c r="Q392" t="n">
        <v>0</v>
      </c>
      <c r="R392" s="2" t="inlineStr"/>
    </row>
    <row r="393" ht="15" customHeight="1">
      <c r="A393" t="inlineStr">
        <is>
          <t>A 24568-2026</t>
        </is>
      </c>
      <c r="B393" s="1" t="n">
        <v>46170</v>
      </c>
      <c r="C393" s="1" t="n">
        <v>46200</v>
      </c>
      <c r="D393" t="inlineStr">
        <is>
          <t>VÄSTRA GÖTALANDS LÄN</t>
        </is>
      </c>
      <c r="E393" t="inlineStr">
        <is>
          <t>FALKÖPING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19133-2026</t>
        </is>
      </c>
      <c r="B394" s="1" t="n">
        <v>46132</v>
      </c>
      <c r="C394" s="1" t="n">
        <v>46200</v>
      </c>
      <c r="D394" t="inlineStr">
        <is>
          <t>VÄSTRA GÖTALANDS LÄN</t>
        </is>
      </c>
      <c r="E394" t="inlineStr">
        <is>
          <t>FALKÖPING</t>
        </is>
      </c>
      <c r="G394" t="n">
        <v>4.5</v>
      </c>
      <c r="H394" t="n">
        <v>0</v>
      </c>
      <c r="I394" t="n">
        <v>0</v>
      </c>
      <c r="J394" t="n">
        <v>0</v>
      </c>
      <c r="K394" t="n">
        <v>0</v>
      </c>
      <c r="L394" t="n">
        <v>0</v>
      </c>
      <c r="M394" t="n">
        <v>0</v>
      </c>
      <c r="N394" t="n">
        <v>0</v>
      </c>
      <c r="O394" t="n">
        <v>0</v>
      </c>
      <c r="P394" t="n">
        <v>0</v>
      </c>
      <c r="Q394" t="n">
        <v>0</v>
      </c>
      <c r="R394" s="2" t="inlineStr"/>
    </row>
    <row r="395" ht="15" customHeight="1">
      <c r="A395" t="inlineStr">
        <is>
          <t>A 19134-2026</t>
        </is>
      </c>
      <c r="B395" s="1" t="n">
        <v>46132</v>
      </c>
      <c r="C395" s="1" t="n">
        <v>46200</v>
      </c>
      <c r="D395" t="inlineStr">
        <is>
          <t>VÄSTRA GÖTALANDS LÄN</t>
        </is>
      </c>
      <c r="E395" t="inlineStr">
        <is>
          <t>FALKÖPING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19411-2026</t>
        </is>
      </c>
      <c r="B396" s="1" t="n">
        <v>46133</v>
      </c>
      <c r="C396" s="1" t="n">
        <v>46200</v>
      </c>
      <c r="D396" t="inlineStr">
        <is>
          <t>VÄSTRA GÖTALANDS LÄN</t>
        </is>
      </c>
      <c r="E396" t="inlineStr">
        <is>
          <t>FALKÖPING</t>
        </is>
      </c>
      <c r="G396" t="n">
        <v>2.1</v>
      </c>
      <c r="H396" t="n">
        <v>0</v>
      </c>
      <c r="I396" t="n">
        <v>0</v>
      </c>
      <c r="J396" t="n">
        <v>0</v>
      </c>
      <c r="K396" t="n">
        <v>0</v>
      </c>
      <c r="L396" t="n">
        <v>0</v>
      </c>
      <c r="M396" t="n">
        <v>0</v>
      </c>
      <c r="N396" t="n">
        <v>0</v>
      </c>
      <c r="O396" t="n">
        <v>0</v>
      </c>
      <c r="P396" t="n">
        <v>0</v>
      </c>
      <c r="Q396" t="n">
        <v>0</v>
      </c>
      <c r="R396" s="2" t="inlineStr"/>
    </row>
    <row r="397" ht="15" customHeight="1">
      <c r="A397" t="inlineStr">
        <is>
          <t>A 19419-2026</t>
        </is>
      </c>
      <c r="B397" s="1" t="n">
        <v>46133</v>
      </c>
      <c r="C397" s="1" t="n">
        <v>46200</v>
      </c>
      <c r="D397" t="inlineStr">
        <is>
          <t>VÄSTRA GÖTALANDS LÄN</t>
        </is>
      </c>
      <c r="E397" t="inlineStr">
        <is>
          <t>FALKÖPING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25324-2026</t>
        </is>
      </c>
      <c r="B398" s="1" t="n">
        <v>46176</v>
      </c>
      <c r="C398" s="1" t="n">
        <v>46200</v>
      </c>
      <c r="D398" t="inlineStr">
        <is>
          <t>VÄSTRA GÖTALANDS LÄN</t>
        </is>
      </c>
      <c r="E398" t="inlineStr">
        <is>
          <t>FALKÖPING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19835-2026</t>
        </is>
      </c>
      <c r="B399" s="1" t="n">
        <v>46135</v>
      </c>
      <c r="C399" s="1" t="n">
        <v>46200</v>
      </c>
      <c r="D399" t="inlineStr">
        <is>
          <t>VÄSTRA GÖTALANDS LÄN</t>
        </is>
      </c>
      <c r="E399" t="inlineStr">
        <is>
          <t>FALKÖPING</t>
        </is>
      </c>
      <c r="G399" t="n">
        <v>0.9</v>
      </c>
      <c r="H399" t="n">
        <v>0</v>
      </c>
      <c r="I399" t="n">
        <v>0</v>
      </c>
      <c r="J399" t="n">
        <v>0</v>
      </c>
      <c r="K399" t="n">
        <v>0</v>
      </c>
      <c r="L399" t="n">
        <v>0</v>
      </c>
      <c r="M399" t="n">
        <v>0</v>
      </c>
      <c r="N399" t="n">
        <v>0</v>
      </c>
      <c r="O399" t="n">
        <v>0</v>
      </c>
      <c r="P399" t="n">
        <v>0</v>
      </c>
      <c r="Q399" t="n">
        <v>0</v>
      </c>
      <c r="R399" s="2" t="inlineStr"/>
    </row>
    <row r="400" ht="15" customHeight="1">
      <c r="A400" t="inlineStr">
        <is>
          <t>A 20230-2026</t>
        </is>
      </c>
      <c r="B400" s="1" t="n">
        <v>46139</v>
      </c>
      <c r="C400" s="1" t="n">
        <v>46200</v>
      </c>
      <c r="D400" t="inlineStr">
        <is>
          <t>VÄSTRA GÖTALANDS LÄN</t>
        </is>
      </c>
      <c r="E400" t="inlineStr">
        <is>
          <t>FALKÖPING</t>
        </is>
      </c>
      <c r="G400" t="n">
        <v>3.3</v>
      </c>
      <c r="H400" t="n">
        <v>0</v>
      </c>
      <c r="I400" t="n">
        <v>0</v>
      </c>
      <c r="J400" t="n">
        <v>0</v>
      </c>
      <c r="K400" t="n">
        <v>0</v>
      </c>
      <c r="L400" t="n">
        <v>0</v>
      </c>
      <c r="M400" t="n">
        <v>0</v>
      </c>
      <c r="N400" t="n">
        <v>0</v>
      </c>
      <c r="O400" t="n">
        <v>0</v>
      </c>
      <c r="P400" t="n">
        <v>0</v>
      </c>
      <c r="Q400" t="n">
        <v>0</v>
      </c>
      <c r="R400" s="2" t="inlineStr"/>
    </row>
    <row r="401" ht="15" customHeight="1">
      <c r="A401" t="inlineStr">
        <is>
          <t>A 63604-2025</t>
        </is>
      </c>
      <c r="B401" s="1" t="n">
        <v>46014</v>
      </c>
      <c r="C401" s="1" t="n">
        <v>46200</v>
      </c>
      <c r="D401" t="inlineStr">
        <is>
          <t>VÄSTRA GÖTALANDS LÄN</t>
        </is>
      </c>
      <c r="E401" t="inlineStr">
        <is>
          <t>FALKÖPING</t>
        </is>
      </c>
      <c r="G401" t="n">
        <v>3.3</v>
      </c>
      <c r="H401" t="n">
        <v>0</v>
      </c>
      <c r="I401" t="n">
        <v>0</v>
      </c>
      <c r="J401" t="n">
        <v>0</v>
      </c>
      <c r="K401" t="n">
        <v>0</v>
      </c>
      <c r="L401" t="n">
        <v>0</v>
      </c>
      <c r="M401" t="n">
        <v>0</v>
      </c>
      <c r="N401" t="n">
        <v>0</v>
      </c>
      <c r="O401" t="n">
        <v>0</v>
      </c>
      <c r="P401" t="n">
        <v>0</v>
      </c>
      <c r="Q401" t="n">
        <v>0</v>
      </c>
      <c r="R401" s="2" t="inlineStr"/>
    </row>
    <row r="402" ht="15" customHeight="1">
      <c r="A402" t="inlineStr">
        <is>
          <t>A 39857-2025</t>
        </is>
      </c>
      <c r="B402" s="1" t="n">
        <v>45891</v>
      </c>
      <c r="C402" s="1" t="n">
        <v>46200</v>
      </c>
      <c r="D402" t="inlineStr">
        <is>
          <t>VÄSTRA GÖTALANDS LÄN</t>
        </is>
      </c>
      <c r="E402" t="inlineStr">
        <is>
          <t>FALKÖPING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15854-2025</t>
        </is>
      </c>
      <c r="B403" s="1" t="n">
        <v>45749</v>
      </c>
      <c r="C403" s="1" t="n">
        <v>46200</v>
      </c>
      <c r="D403" t="inlineStr">
        <is>
          <t>VÄSTRA GÖTALANDS LÄN</t>
        </is>
      </c>
      <c r="E403" t="inlineStr">
        <is>
          <t>FALKÖPING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20360-2025</t>
        </is>
      </c>
      <c r="B404" s="1" t="n">
        <v>45775</v>
      </c>
      <c r="C404" s="1" t="n">
        <v>46200</v>
      </c>
      <c r="D404" t="inlineStr">
        <is>
          <t>VÄSTRA GÖTALANDS LÄN</t>
        </is>
      </c>
      <c r="E404" t="inlineStr">
        <is>
          <t>FALKÖPING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61266-2024</t>
        </is>
      </c>
      <c r="B405" s="1" t="n">
        <v>45645</v>
      </c>
      <c r="C405" s="1" t="n">
        <v>46200</v>
      </c>
      <c r="D405" t="inlineStr">
        <is>
          <t>VÄSTRA GÖTALANDS LÄN</t>
        </is>
      </c>
      <c r="E405" t="inlineStr">
        <is>
          <t>FALKÖPING</t>
        </is>
      </c>
      <c r="G405" t="n">
        <v>2.8</v>
      </c>
      <c r="H405" t="n">
        <v>0</v>
      </c>
      <c r="I405" t="n">
        <v>0</v>
      </c>
      <c r="J405" t="n">
        <v>0</v>
      </c>
      <c r="K405" t="n">
        <v>0</v>
      </c>
      <c r="L405" t="n">
        <v>0</v>
      </c>
      <c r="M405" t="n">
        <v>0</v>
      </c>
      <c r="N405" t="n">
        <v>0</v>
      </c>
      <c r="O405" t="n">
        <v>0</v>
      </c>
      <c r="P405" t="n">
        <v>0</v>
      </c>
      <c r="Q405" t="n">
        <v>0</v>
      </c>
      <c r="R405" s="2" t="inlineStr"/>
    </row>
    <row r="406" ht="15" customHeight="1">
      <c r="A406" t="inlineStr">
        <is>
          <t>A 24695-2025</t>
        </is>
      </c>
      <c r="B406" s="1" t="n">
        <v>45798</v>
      </c>
      <c r="C406" s="1" t="n">
        <v>46200</v>
      </c>
      <c r="D406" t="inlineStr">
        <is>
          <t>VÄSTRA GÖTALANDS LÄN</t>
        </is>
      </c>
      <c r="E406" t="inlineStr">
        <is>
          <t>FALKÖPING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59935-2024</t>
        </is>
      </c>
      <c r="B407" s="1" t="n">
        <v>45642</v>
      </c>
      <c r="C407" s="1" t="n">
        <v>46200</v>
      </c>
      <c r="D407" t="inlineStr">
        <is>
          <t>VÄSTRA GÖTALANDS LÄN</t>
        </is>
      </c>
      <c r="E407" t="inlineStr">
        <is>
          <t>FALKÖPING</t>
        </is>
      </c>
      <c r="G407" t="n">
        <v>3.3</v>
      </c>
      <c r="H407" t="n">
        <v>0</v>
      </c>
      <c r="I407" t="n">
        <v>0</v>
      </c>
      <c r="J407" t="n">
        <v>0</v>
      </c>
      <c r="K407" t="n">
        <v>0</v>
      </c>
      <c r="L407" t="n">
        <v>0</v>
      </c>
      <c r="M407" t="n">
        <v>0</v>
      </c>
      <c r="N407" t="n">
        <v>0</v>
      </c>
      <c r="O407" t="n">
        <v>0</v>
      </c>
      <c r="P407" t="n">
        <v>0</v>
      </c>
      <c r="Q407" t="n">
        <v>0</v>
      </c>
      <c r="R407" s="2" t="inlineStr"/>
    </row>
    <row r="408" ht="15" customHeight="1">
      <c r="A408" t="inlineStr">
        <is>
          <t>A 26797-2026</t>
        </is>
      </c>
      <c r="B408" s="1" t="n">
        <v>46185</v>
      </c>
      <c r="C408" s="1" t="n">
        <v>46200</v>
      </c>
      <c r="D408" t="inlineStr">
        <is>
          <t>VÄSTRA GÖTALANDS LÄN</t>
        </is>
      </c>
      <c r="E408" t="inlineStr">
        <is>
          <t>FALKÖPING</t>
        </is>
      </c>
      <c r="G408" t="n">
        <v>6.1</v>
      </c>
      <c r="H408" t="n">
        <v>0</v>
      </c>
      <c r="I408" t="n">
        <v>0</v>
      </c>
      <c r="J408" t="n">
        <v>0</v>
      </c>
      <c r="K408" t="n">
        <v>0</v>
      </c>
      <c r="L408" t="n">
        <v>0</v>
      </c>
      <c r="M408" t="n">
        <v>0</v>
      </c>
      <c r="N408" t="n">
        <v>0</v>
      </c>
      <c r="O408" t="n">
        <v>0</v>
      </c>
      <c r="P408" t="n">
        <v>0</v>
      </c>
      <c r="Q408" t="n">
        <v>0</v>
      </c>
      <c r="R408" s="2" t="inlineStr"/>
    </row>
    <row r="409" ht="15" customHeight="1">
      <c r="A409" t="inlineStr">
        <is>
          <t>A 19009-2025</t>
        </is>
      </c>
      <c r="B409" s="1" t="n">
        <v>45764</v>
      </c>
      <c r="C409" s="1" t="n">
        <v>46200</v>
      </c>
      <c r="D409" t="inlineStr">
        <is>
          <t>VÄSTRA GÖTALANDS LÄN</t>
        </is>
      </c>
      <c r="E409" t="inlineStr">
        <is>
          <t>FALKÖPING</t>
        </is>
      </c>
      <c r="G409" t="n">
        <v>3.3</v>
      </c>
      <c r="H409" t="n">
        <v>0</v>
      </c>
      <c r="I409" t="n">
        <v>0</v>
      </c>
      <c r="J409" t="n">
        <v>0</v>
      </c>
      <c r="K409" t="n">
        <v>0</v>
      </c>
      <c r="L409" t="n">
        <v>0</v>
      </c>
      <c r="M409" t="n">
        <v>0</v>
      </c>
      <c r="N409" t="n">
        <v>0</v>
      </c>
      <c r="O409" t="n">
        <v>0</v>
      </c>
      <c r="P409" t="n">
        <v>0</v>
      </c>
      <c r="Q409" t="n">
        <v>0</v>
      </c>
      <c r="R409" s="2" t="inlineStr"/>
    </row>
    <row r="410" ht="15" customHeight="1">
      <c r="A410" t="inlineStr">
        <is>
          <t>A 28526-2026</t>
        </is>
      </c>
      <c r="B410" s="1" t="n">
        <v>46197</v>
      </c>
      <c r="C410" s="1" t="n">
        <v>46200</v>
      </c>
      <c r="D410" t="inlineStr">
        <is>
          <t>VÄSTRA GÖTALANDS LÄN</t>
        </is>
      </c>
      <c r="E410" t="inlineStr">
        <is>
          <t>FALKÖPING</t>
        </is>
      </c>
      <c r="G410" t="n">
        <v>1.5</v>
      </c>
      <c r="H410" t="n">
        <v>0</v>
      </c>
      <c r="I410" t="n">
        <v>0</v>
      </c>
      <c r="J410" t="n">
        <v>0</v>
      </c>
      <c r="K410" t="n">
        <v>0</v>
      </c>
      <c r="L410" t="n">
        <v>0</v>
      </c>
      <c r="M410" t="n">
        <v>0</v>
      </c>
      <c r="N410" t="n">
        <v>0</v>
      </c>
      <c r="O410" t="n">
        <v>0</v>
      </c>
      <c r="P410" t="n">
        <v>0</v>
      </c>
      <c r="Q410" t="n">
        <v>0</v>
      </c>
      <c r="R410" s="2" t="inlineStr"/>
    </row>
    <row r="411" ht="15" customHeight="1">
      <c r="A411" t="inlineStr">
        <is>
          <t>A 26563-2023</t>
        </is>
      </c>
      <c r="B411" s="1" t="n">
        <v>45092</v>
      </c>
      <c r="C411" s="1" t="n">
        <v>46200</v>
      </c>
      <c r="D411" t="inlineStr">
        <is>
          <t>VÄSTRA GÖTALANDS LÄN</t>
        </is>
      </c>
      <c r="E411" t="inlineStr">
        <is>
          <t>FALKÖPING</t>
        </is>
      </c>
      <c r="G411" t="n">
        <v>3.1</v>
      </c>
      <c r="H411" t="n">
        <v>0</v>
      </c>
      <c r="I411" t="n">
        <v>0</v>
      </c>
      <c r="J411" t="n">
        <v>0</v>
      </c>
      <c r="K411" t="n">
        <v>0</v>
      </c>
      <c r="L411" t="n">
        <v>0</v>
      </c>
      <c r="M411" t="n">
        <v>0</v>
      </c>
      <c r="N411" t="n">
        <v>0</v>
      </c>
      <c r="O411" t="n">
        <v>0</v>
      </c>
      <c r="P411" t="n">
        <v>0</v>
      </c>
      <c r="Q411" t="n">
        <v>0</v>
      </c>
      <c r="R411" s="2" t="inlineStr"/>
    </row>
    <row r="412" ht="15" customHeight="1">
      <c r="A412" t="inlineStr">
        <is>
          <t>A 2900-2026</t>
        </is>
      </c>
      <c r="B412" s="1" t="n">
        <v>46038</v>
      </c>
      <c r="C412" s="1" t="n">
        <v>46200</v>
      </c>
      <c r="D412" t="inlineStr">
        <is>
          <t>VÄSTRA GÖTALANDS LÄN</t>
        </is>
      </c>
      <c r="E412" t="inlineStr">
        <is>
          <t>FALKÖPING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61181-2024</t>
        </is>
      </c>
      <c r="B413" s="1" t="n">
        <v>45645</v>
      </c>
      <c r="C413" s="1" t="n">
        <v>46200</v>
      </c>
      <c r="D413" t="inlineStr">
        <is>
          <t>VÄSTRA GÖTALANDS LÄN</t>
        </is>
      </c>
      <c r="E413" t="inlineStr">
        <is>
          <t>FALKÖPING</t>
        </is>
      </c>
      <c r="G413" t="n">
        <v>2.1</v>
      </c>
      <c r="H413" t="n">
        <v>0</v>
      </c>
      <c r="I413" t="n">
        <v>0</v>
      </c>
      <c r="J413" t="n">
        <v>0</v>
      </c>
      <c r="K413" t="n">
        <v>0</v>
      </c>
      <c r="L413" t="n">
        <v>0</v>
      </c>
      <c r="M413" t="n">
        <v>0</v>
      </c>
      <c r="N413" t="n">
        <v>0</v>
      </c>
      <c r="O413" t="n">
        <v>0</v>
      </c>
      <c r="P413" t="n">
        <v>0</v>
      </c>
      <c r="Q413" t="n">
        <v>0</v>
      </c>
      <c r="R413" s="2" t="inlineStr"/>
    </row>
    <row r="414" ht="15" customHeight="1">
      <c r="A414" t="inlineStr">
        <is>
          <t>A 6495-2025</t>
        </is>
      </c>
      <c r="B414" s="1" t="n">
        <v>45699</v>
      </c>
      <c r="C414" s="1" t="n">
        <v>46200</v>
      </c>
      <c r="D414" t="inlineStr">
        <is>
          <t>VÄSTRA GÖTALANDS LÄN</t>
        </is>
      </c>
      <c r="E414" t="inlineStr">
        <is>
          <t>FALKÖPING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40555-2025</t>
        </is>
      </c>
      <c r="B415" s="1" t="n">
        <v>45896</v>
      </c>
      <c r="C415" s="1" t="n">
        <v>46200</v>
      </c>
      <c r="D415" t="inlineStr">
        <is>
          <t>VÄSTRA GÖTALANDS LÄN</t>
        </is>
      </c>
      <c r="E415" t="inlineStr">
        <is>
          <t>FALKÖPING</t>
        </is>
      </c>
      <c r="G415" t="n">
        <v>1</v>
      </c>
      <c r="H415" t="n">
        <v>0</v>
      </c>
      <c r="I415" t="n">
        <v>0</v>
      </c>
      <c r="J415" t="n">
        <v>0</v>
      </c>
      <c r="K415" t="n">
        <v>0</v>
      </c>
      <c r="L415" t="n">
        <v>0</v>
      </c>
      <c r="M415" t="n">
        <v>0</v>
      </c>
      <c r="N415" t="n">
        <v>0</v>
      </c>
      <c r="O415" t="n">
        <v>0</v>
      </c>
      <c r="P415" t="n">
        <v>0</v>
      </c>
      <c r="Q415" t="n">
        <v>0</v>
      </c>
      <c r="R415" s="2" t="inlineStr"/>
    </row>
    <row r="416">
      <c r="A416" t="inlineStr">
        <is>
          <t>A 56216-2025</t>
        </is>
      </c>
      <c r="B416" s="1" t="n">
        <v>45974</v>
      </c>
      <c r="C416" s="1" t="n">
        <v>46200</v>
      </c>
      <c r="D416" t="inlineStr">
        <is>
          <t>VÄSTRA GÖTALANDS LÄN</t>
        </is>
      </c>
      <c r="E416" t="inlineStr">
        <is>
          <t>FALKÖPING</t>
        </is>
      </c>
      <c r="G416" t="n">
        <v>3.1</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2026-06-27T00:53:38Z</dcterms:created>
  <dcterms:modified xmlns:dcterms="http://purl.org/dc/terms/" xmlns:xsi="http://www.w3.org/2001/XMLSchema-instance" xsi:type="dcterms:W3CDTF">2026-06-27T00:53:38Z</dcterms:modified>
</cp:coreProperties>
</file>