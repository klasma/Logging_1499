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45356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45356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45356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45356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45356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45356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5489-2024</t>
        </is>
      </c>
      <c r="B9" s="1" t="n">
        <v>45334</v>
      </c>
      <c r="C9" s="1" t="n">
        <v>45356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Erastia ochraceolateritia
Rostfläck</t>
        </is>
      </c>
      <c r="S9">
        <f>HYPERLINK("https://klasma.github.io/Logging_1499/artfynd/A 5489-2024 artfynd.xlsx", "A 5489-2024")</f>
        <v/>
      </c>
      <c r="T9">
        <f>HYPERLINK("https://klasma.github.io/Logging_1499/kartor/A 5489-2024 karta.png", "A 5489-2024")</f>
        <v/>
      </c>
      <c r="V9">
        <f>HYPERLINK("https://klasma.github.io/Logging_1499/klagomål/A 5489-2024 FSC-klagomål.docx", "A 5489-2024")</f>
        <v/>
      </c>
      <c r="W9">
        <f>HYPERLINK("https://klasma.github.io/Logging_1499/klagomålsmail/A 5489-2024 FSC-klagomål mail.docx", "A 5489-2024")</f>
        <v/>
      </c>
      <c r="X9">
        <f>HYPERLINK("https://klasma.github.io/Logging_1499/tillsyn/A 5489-2024 tillsynsbegäran.docx", "A 5489-2024")</f>
        <v/>
      </c>
      <c r="Y9">
        <f>HYPERLINK("https://klasma.github.io/Logging_1499/tillsynsmail/A 5489-2024 tillsynsbegäran mail.docx", "A 5489-2024")</f>
        <v/>
      </c>
    </row>
    <row r="10" ht="15" customHeight="1">
      <c r="A10" t="inlineStr">
        <is>
          <t>A 41499-2018</t>
        </is>
      </c>
      <c r="B10" s="1" t="n">
        <v>43349</v>
      </c>
      <c r="C10" s="1" t="n">
        <v>45356</v>
      </c>
      <c r="D10" t="inlineStr">
        <is>
          <t>VÄSTRA GÖTALANDS LÄN</t>
        </is>
      </c>
      <c r="E10" t="inlineStr">
        <is>
          <t>FALKÖPING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HYPERLINK("https://klasma.github.io/Logging_1499/artfynd/A 41499-2018 artfynd.xlsx", "A 41499-2018")</f>
        <v/>
      </c>
      <c r="T10">
        <f>HYPERLINK("https://klasma.github.io/Logging_1499/kartor/A 41499-2018 karta.png", "A 41499-2018")</f>
        <v/>
      </c>
      <c r="V10">
        <f>HYPERLINK("https://klasma.github.io/Logging_1499/klagomål/A 41499-2018 FSC-klagomål.docx", "A 41499-2018")</f>
        <v/>
      </c>
      <c r="W10">
        <f>HYPERLINK("https://klasma.github.io/Logging_1499/klagomålsmail/A 41499-2018 FSC-klagomål mail.docx", "A 41499-2018")</f>
        <v/>
      </c>
      <c r="X10">
        <f>HYPERLINK("https://klasma.github.io/Logging_1499/tillsyn/A 41499-2018 tillsynsbegäran.docx", "A 41499-2018")</f>
        <v/>
      </c>
      <c r="Y10">
        <f>HYPERLINK("https://klasma.github.io/Logging_1499/tillsynsmail/A 41499-2018 tillsynsbegäran mail.docx", "A 41499-2018")</f>
        <v/>
      </c>
    </row>
    <row r="11" ht="15" customHeight="1">
      <c r="A11" t="inlineStr">
        <is>
          <t>A 70607-2018</t>
        </is>
      </c>
      <c r="B11" s="1" t="n">
        <v>43451</v>
      </c>
      <c r="C11" s="1" t="n">
        <v>45356</v>
      </c>
      <c r="D11" t="inlineStr">
        <is>
          <t>VÄSTRA GÖTALANDS LÄN</t>
        </is>
      </c>
      <c r="E11" t="inlineStr">
        <is>
          <t>FALKÖPING</t>
        </is>
      </c>
      <c r="G11" t="n">
        <v>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HYPERLINK("https://klasma.github.io/Logging_1499/artfynd/A 70607-2018 artfynd.xlsx", "A 70607-2018")</f>
        <v/>
      </c>
      <c r="T11">
        <f>HYPERLINK("https://klasma.github.io/Logging_1499/kartor/A 70607-2018 karta.png", "A 70607-2018")</f>
        <v/>
      </c>
      <c r="V11">
        <f>HYPERLINK("https://klasma.github.io/Logging_1499/klagomål/A 70607-2018 FSC-klagomål.docx", "A 70607-2018")</f>
        <v/>
      </c>
      <c r="W11">
        <f>HYPERLINK("https://klasma.github.io/Logging_1499/klagomålsmail/A 70607-2018 FSC-klagomål mail.docx", "A 70607-2018")</f>
        <v/>
      </c>
      <c r="X11">
        <f>HYPERLINK("https://klasma.github.io/Logging_1499/tillsyn/A 70607-2018 tillsynsbegäran.docx", "A 70607-2018")</f>
        <v/>
      </c>
      <c r="Y11">
        <f>HYPERLINK("https://klasma.github.io/Logging_1499/tillsynsmail/A 70607-2018 tillsynsbegäran mail.docx", "A 70607-2018")</f>
        <v/>
      </c>
    </row>
    <row r="12" ht="15" customHeight="1">
      <c r="A12" t="inlineStr">
        <is>
          <t>A 16637-2019</t>
        </is>
      </c>
      <c r="B12" s="1" t="n">
        <v>43549</v>
      </c>
      <c r="C12" s="1" t="n">
        <v>45356</v>
      </c>
      <c r="D12" t="inlineStr">
        <is>
          <t>VÄSTRA GÖTALANDS LÄN</t>
        </is>
      </c>
      <c r="E12" t="inlineStr">
        <is>
          <t>FALKÖPING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Svartoxe</t>
        </is>
      </c>
      <c r="S12">
        <f>HYPERLINK("https://klasma.github.io/Logging_1499/artfynd/A 16637-2019 artfynd.xlsx", "A 16637-2019")</f>
        <v/>
      </c>
      <c r="T12">
        <f>HYPERLINK("https://klasma.github.io/Logging_1499/kartor/A 16637-2019 karta.png", "A 16637-2019")</f>
        <v/>
      </c>
      <c r="V12">
        <f>HYPERLINK("https://klasma.github.io/Logging_1499/klagomål/A 16637-2019 FSC-klagomål.docx", "A 16637-2019")</f>
        <v/>
      </c>
      <c r="W12">
        <f>HYPERLINK("https://klasma.github.io/Logging_1499/klagomålsmail/A 16637-2019 FSC-klagomål mail.docx", "A 16637-2019")</f>
        <v/>
      </c>
      <c r="X12">
        <f>HYPERLINK("https://klasma.github.io/Logging_1499/tillsyn/A 16637-2019 tillsynsbegäran.docx", "A 16637-2019")</f>
        <v/>
      </c>
      <c r="Y12">
        <f>HYPERLINK("https://klasma.github.io/Logging_1499/tillsynsmail/A 16637-2019 tillsynsbegäran mail.docx", "A 16637-2019")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45356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45356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45356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45356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45356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45356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45356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45356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45356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</row>
    <row r="22" ht="15" customHeight="1">
      <c r="A22" t="inlineStr">
        <is>
          <t>A 35702-2018</t>
        </is>
      </c>
      <c r="B22" s="1" t="n">
        <v>43325</v>
      </c>
      <c r="C22" s="1" t="n">
        <v>45356</v>
      </c>
      <c r="D22" t="inlineStr">
        <is>
          <t>VÄSTRA GÖTALANDS LÄN</t>
        </is>
      </c>
      <c r="E22" t="inlineStr">
        <is>
          <t>FALKÖPING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38690-2018</t>
        </is>
      </c>
      <c r="B23" s="1" t="n">
        <v>43340</v>
      </c>
      <c r="C23" s="1" t="n">
        <v>45356</v>
      </c>
      <c r="D23" t="inlineStr">
        <is>
          <t>VÄSTRA GÖTALANDS LÄN</t>
        </is>
      </c>
      <c r="E23" t="inlineStr">
        <is>
          <t>FALKÖPING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40932-2018</t>
        </is>
      </c>
      <c r="B24" s="1" t="n">
        <v>43347</v>
      </c>
      <c r="C24" s="1" t="n">
        <v>45356</v>
      </c>
      <c r="D24" t="inlineStr">
        <is>
          <t>VÄSTRA GÖTALANDS LÄN</t>
        </is>
      </c>
      <c r="E24" t="inlineStr">
        <is>
          <t>FALKÖPING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45488-2018</t>
        </is>
      </c>
      <c r="B25" s="1" t="n">
        <v>43362</v>
      </c>
      <c r="C25" s="1" t="n">
        <v>45356</v>
      </c>
      <c r="D25" t="inlineStr">
        <is>
          <t>VÄSTRA GÖTALANDS LÄN</t>
        </is>
      </c>
      <c r="E25" t="inlineStr">
        <is>
          <t>FALKÖPING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45526-2018</t>
        </is>
      </c>
      <c r="B26" s="1" t="n">
        <v>43362</v>
      </c>
      <c r="C26" s="1" t="n">
        <v>45356</v>
      </c>
      <c r="D26" t="inlineStr">
        <is>
          <t>VÄSTRA GÖTALANDS LÄN</t>
        </is>
      </c>
      <c r="E26" t="inlineStr">
        <is>
          <t>FALKÖPING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45497-2018</t>
        </is>
      </c>
      <c r="B27" s="1" t="n">
        <v>43362</v>
      </c>
      <c r="C27" s="1" t="n">
        <v>45356</v>
      </c>
      <c r="D27" t="inlineStr">
        <is>
          <t>VÄSTRA GÖTALANDS LÄN</t>
        </is>
      </c>
      <c r="E27" t="inlineStr">
        <is>
          <t>FALKÖPING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47076-2018</t>
        </is>
      </c>
      <c r="B28" s="1" t="n">
        <v>43368</v>
      </c>
      <c r="C28" s="1" t="n">
        <v>45356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47050-2018</t>
        </is>
      </c>
      <c r="B29" s="1" t="n">
        <v>43368</v>
      </c>
      <c r="C29" s="1" t="n">
        <v>45356</v>
      </c>
      <c r="D29" t="inlineStr">
        <is>
          <t>VÄSTRA GÖTALANDS LÄN</t>
        </is>
      </c>
      <c r="E29" t="inlineStr">
        <is>
          <t>FALKÖPING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47120-2018</t>
        </is>
      </c>
      <c r="B30" s="1" t="n">
        <v>43368</v>
      </c>
      <c r="C30" s="1" t="n">
        <v>45356</v>
      </c>
      <c r="D30" t="inlineStr">
        <is>
          <t>VÄSTRA GÖTALANDS LÄN</t>
        </is>
      </c>
      <c r="E30" t="inlineStr">
        <is>
          <t>FALKÖPING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47027-2018</t>
        </is>
      </c>
      <c r="B31" s="1" t="n">
        <v>43368</v>
      </c>
      <c r="C31" s="1" t="n">
        <v>45356</v>
      </c>
      <c r="D31" t="inlineStr">
        <is>
          <t>VÄSTRA GÖTALANDS LÄN</t>
        </is>
      </c>
      <c r="E31" t="inlineStr">
        <is>
          <t>FALKÖPING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47091-2018</t>
        </is>
      </c>
      <c r="B32" s="1" t="n">
        <v>43368</v>
      </c>
      <c r="C32" s="1" t="n">
        <v>45356</v>
      </c>
      <c r="D32" t="inlineStr">
        <is>
          <t>VÄSTRA GÖTALANDS LÄN</t>
        </is>
      </c>
      <c r="E32" t="inlineStr">
        <is>
          <t>FALKÖPING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47055-2018</t>
        </is>
      </c>
      <c r="B33" s="1" t="n">
        <v>43368</v>
      </c>
      <c r="C33" s="1" t="n">
        <v>45356</v>
      </c>
      <c r="D33" t="inlineStr">
        <is>
          <t>VÄSTRA GÖTALANDS LÄN</t>
        </is>
      </c>
      <c r="E33" t="inlineStr">
        <is>
          <t>FALKÖPING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48063-2018</t>
        </is>
      </c>
      <c r="B34" s="1" t="n">
        <v>43370</v>
      </c>
      <c r="C34" s="1" t="n">
        <v>45356</v>
      </c>
      <c r="D34" t="inlineStr">
        <is>
          <t>VÄSTRA GÖTALANDS LÄN</t>
        </is>
      </c>
      <c r="E34" t="inlineStr">
        <is>
          <t>FALKÖPING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48057-2018</t>
        </is>
      </c>
      <c r="B35" s="1" t="n">
        <v>43370</v>
      </c>
      <c r="C35" s="1" t="n">
        <v>45356</v>
      </c>
      <c r="D35" t="inlineStr">
        <is>
          <t>VÄSTRA GÖTALANDS LÄN</t>
        </is>
      </c>
      <c r="E35" t="inlineStr">
        <is>
          <t>FALKÖPING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55526-2018</t>
        </is>
      </c>
      <c r="B36" s="1" t="n">
        <v>43392</v>
      </c>
      <c r="C36" s="1" t="n">
        <v>45356</v>
      </c>
      <c r="D36" t="inlineStr">
        <is>
          <t>VÄSTRA GÖTALANDS LÄN</t>
        </is>
      </c>
      <c r="E36" t="inlineStr">
        <is>
          <t>FALKÖPING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59616-2018</t>
        </is>
      </c>
      <c r="B37" s="1" t="n">
        <v>43405</v>
      </c>
      <c r="C37" s="1" t="n">
        <v>45356</v>
      </c>
      <c r="D37" t="inlineStr">
        <is>
          <t>VÄSTRA GÖTALANDS LÄN</t>
        </is>
      </c>
      <c r="E37" t="inlineStr">
        <is>
          <t>FALKÖPING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61328-2018</t>
        </is>
      </c>
      <c r="B38" s="1" t="n">
        <v>43412</v>
      </c>
      <c r="C38" s="1" t="n">
        <v>45356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60952-2018</t>
        </is>
      </c>
      <c r="B39" s="1" t="n">
        <v>43423</v>
      </c>
      <c r="C39" s="1" t="n">
        <v>45356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61454-2018</t>
        </is>
      </c>
      <c r="B40" s="1" t="n">
        <v>43424</v>
      </c>
      <c r="C40" s="1" t="n">
        <v>45356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65191-2018</t>
        </is>
      </c>
      <c r="B41" s="1" t="n">
        <v>43424</v>
      </c>
      <c r="C41" s="1" t="n">
        <v>45356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61432-2018</t>
        </is>
      </c>
      <c r="B42" s="1" t="n">
        <v>43424</v>
      </c>
      <c r="C42" s="1" t="n">
        <v>45356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61931-2018</t>
        </is>
      </c>
      <c r="B43" s="1" t="n">
        <v>43425</v>
      </c>
      <c r="C43" s="1" t="n">
        <v>45356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62154-2018</t>
        </is>
      </c>
      <c r="B44" s="1" t="n">
        <v>43425</v>
      </c>
      <c r="C44" s="1" t="n">
        <v>45356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66244-2018</t>
        </is>
      </c>
      <c r="B45" s="1" t="n">
        <v>43426</v>
      </c>
      <c r="C45" s="1" t="n">
        <v>45356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66243-2018</t>
        </is>
      </c>
      <c r="B46" s="1" t="n">
        <v>43426</v>
      </c>
      <c r="C46" s="1" t="n">
        <v>45356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66279-2018</t>
        </is>
      </c>
      <c r="B47" s="1" t="n">
        <v>43427</v>
      </c>
      <c r="C47" s="1" t="n">
        <v>45356</v>
      </c>
      <c r="D47" t="inlineStr">
        <is>
          <t>VÄSTRA GÖTALANDS LÄN</t>
        </is>
      </c>
      <c r="E47" t="inlineStr">
        <is>
          <t>FALKÖPING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64396-2018</t>
        </is>
      </c>
      <c r="B48" s="1" t="n">
        <v>43430</v>
      </c>
      <c r="C48" s="1" t="n">
        <v>45356</v>
      </c>
      <c r="D48" t="inlineStr">
        <is>
          <t>VÄSTRA GÖTALANDS LÄN</t>
        </is>
      </c>
      <c r="E48" t="inlineStr">
        <is>
          <t>FALKÖPING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64835-2018</t>
        </is>
      </c>
      <c r="B49" s="1" t="n">
        <v>43431</v>
      </c>
      <c r="C49" s="1" t="n">
        <v>45356</v>
      </c>
      <c r="D49" t="inlineStr">
        <is>
          <t>VÄSTRA GÖTALANDS LÄN</t>
        </is>
      </c>
      <c r="E49" t="inlineStr">
        <is>
          <t>FALKÖPING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67451-2018</t>
        </is>
      </c>
      <c r="B50" s="1" t="n">
        <v>43439</v>
      </c>
      <c r="C50" s="1" t="n">
        <v>45356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68850-2018</t>
        </is>
      </c>
      <c r="B51" s="1" t="n">
        <v>43444</v>
      </c>
      <c r="C51" s="1" t="n">
        <v>45356</v>
      </c>
      <c r="D51" t="inlineStr">
        <is>
          <t>VÄSTRA GÖTALANDS LÄN</t>
        </is>
      </c>
      <c r="E51" t="inlineStr">
        <is>
          <t>FALKÖPING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68845-2018</t>
        </is>
      </c>
      <c r="B52" s="1" t="n">
        <v>43444</v>
      </c>
      <c r="C52" s="1" t="n">
        <v>45356</v>
      </c>
      <c r="D52" t="inlineStr">
        <is>
          <t>VÄSTRA GÖTALANDS LÄN</t>
        </is>
      </c>
      <c r="E52" t="inlineStr">
        <is>
          <t>FALKÖPING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70299-2018</t>
        </is>
      </c>
      <c r="B53" s="1" t="n">
        <v>43446</v>
      </c>
      <c r="C53" s="1" t="n">
        <v>45356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70302-2018</t>
        </is>
      </c>
      <c r="B54" s="1" t="n">
        <v>43446</v>
      </c>
      <c r="C54" s="1" t="n">
        <v>45356</v>
      </c>
      <c r="D54" t="inlineStr">
        <is>
          <t>VÄSTRA GÖTALANDS LÄN</t>
        </is>
      </c>
      <c r="E54" t="inlineStr">
        <is>
          <t>FALKÖPING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70298-2018</t>
        </is>
      </c>
      <c r="B55" s="1" t="n">
        <v>43446</v>
      </c>
      <c r="C55" s="1" t="n">
        <v>45356</v>
      </c>
      <c r="D55" t="inlineStr">
        <is>
          <t>VÄSTRA GÖTALANDS LÄN</t>
        </is>
      </c>
      <c r="E55" t="inlineStr">
        <is>
          <t>FALKÖPING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70301-2018</t>
        </is>
      </c>
      <c r="B56" s="1" t="n">
        <v>43446</v>
      </c>
      <c r="C56" s="1" t="n">
        <v>45356</v>
      </c>
      <c r="D56" t="inlineStr">
        <is>
          <t>VÄSTRA GÖTALANDS LÄN</t>
        </is>
      </c>
      <c r="E56" t="inlineStr">
        <is>
          <t>FALKÖPING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69925-2018</t>
        </is>
      </c>
      <c r="B57" s="1" t="n">
        <v>43447</v>
      </c>
      <c r="C57" s="1" t="n">
        <v>45356</v>
      </c>
      <c r="D57" t="inlineStr">
        <is>
          <t>VÄSTRA GÖTALANDS LÄN</t>
        </is>
      </c>
      <c r="E57" t="inlineStr">
        <is>
          <t>FALKÖPING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70551-2018</t>
        </is>
      </c>
      <c r="B58" s="1" t="n">
        <v>43447</v>
      </c>
      <c r="C58" s="1" t="n">
        <v>45356</v>
      </c>
      <c r="D58" t="inlineStr">
        <is>
          <t>VÄSTRA GÖTALANDS LÄN</t>
        </is>
      </c>
      <c r="E58" t="inlineStr">
        <is>
          <t>FALKÖPING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70771-2018</t>
        </is>
      </c>
      <c r="B59" s="1" t="n">
        <v>43451</v>
      </c>
      <c r="C59" s="1" t="n">
        <v>45356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71049-2018</t>
        </is>
      </c>
      <c r="B60" s="1" t="n">
        <v>43452</v>
      </c>
      <c r="C60" s="1" t="n">
        <v>45356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71047-2018</t>
        </is>
      </c>
      <c r="B61" s="1" t="n">
        <v>43452</v>
      </c>
      <c r="C61" s="1" t="n">
        <v>45356</v>
      </c>
      <c r="D61" t="inlineStr">
        <is>
          <t>VÄSTRA GÖTALANDS LÄN</t>
        </is>
      </c>
      <c r="E61" t="inlineStr">
        <is>
          <t>FALKÖPING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71090-2018</t>
        </is>
      </c>
      <c r="B62" s="1" t="n">
        <v>43452</v>
      </c>
      <c r="C62" s="1" t="n">
        <v>45356</v>
      </c>
      <c r="D62" t="inlineStr">
        <is>
          <t>VÄSTRA GÖTALANDS LÄN</t>
        </is>
      </c>
      <c r="E62" t="inlineStr">
        <is>
          <t>FALKÖPING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71065-2018</t>
        </is>
      </c>
      <c r="B63" s="1" t="n">
        <v>43452</v>
      </c>
      <c r="C63" s="1" t="n">
        <v>45356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71513-2018</t>
        </is>
      </c>
      <c r="B64" s="1" t="n">
        <v>43453</v>
      </c>
      <c r="C64" s="1" t="n">
        <v>45356</v>
      </c>
      <c r="D64" t="inlineStr">
        <is>
          <t>VÄSTRA GÖTALANDS LÄN</t>
        </is>
      </c>
      <c r="E64" t="inlineStr">
        <is>
          <t>FALKÖPING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71515-2018</t>
        </is>
      </c>
      <c r="B65" s="1" t="n">
        <v>43453</v>
      </c>
      <c r="C65" s="1" t="n">
        <v>45356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71512-2018</t>
        </is>
      </c>
      <c r="B66" s="1" t="n">
        <v>43454</v>
      </c>
      <c r="C66" s="1" t="n">
        <v>45356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688-2019</t>
        </is>
      </c>
      <c r="B67" s="1" t="n">
        <v>43469</v>
      </c>
      <c r="C67" s="1" t="n">
        <v>45356</v>
      </c>
      <c r="D67" t="inlineStr">
        <is>
          <t>VÄSTRA GÖTALANDS LÄN</t>
        </is>
      </c>
      <c r="E67" t="inlineStr">
        <is>
          <t>FALKÖPING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1285-2019</t>
        </is>
      </c>
      <c r="B68" s="1" t="n">
        <v>43473</v>
      </c>
      <c r="C68" s="1" t="n">
        <v>45356</v>
      </c>
      <c r="D68" t="inlineStr">
        <is>
          <t>VÄSTRA GÖTALANDS LÄN</t>
        </is>
      </c>
      <c r="E68" t="inlineStr">
        <is>
          <t>FALKÖPING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1283-2019</t>
        </is>
      </c>
      <c r="B69" s="1" t="n">
        <v>43473</v>
      </c>
      <c r="C69" s="1" t="n">
        <v>45356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3679-2019</t>
        </is>
      </c>
      <c r="B70" s="1" t="n">
        <v>43475</v>
      </c>
      <c r="C70" s="1" t="n">
        <v>45356</v>
      </c>
      <c r="D70" t="inlineStr">
        <is>
          <t>VÄSTRA GÖTALANDS LÄN</t>
        </is>
      </c>
      <c r="E70" t="inlineStr">
        <is>
          <t>FALKÖPING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2550-2019</t>
        </is>
      </c>
      <c r="B71" s="1" t="n">
        <v>43476</v>
      </c>
      <c r="C71" s="1" t="n">
        <v>45356</v>
      </c>
      <c r="D71" t="inlineStr">
        <is>
          <t>VÄSTRA GÖTALANDS LÄN</t>
        </is>
      </c>
      <c r="E71" t="inlineStr">
        <is>
          <t>FALKÖPING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3933-2019</t>
        </is>
      </c>
      <c r="B72" s="1" t="n">
        <v>43476</v>
      </c>
      <c r="C72" s="1" t="n">
        <v>45356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2552-2019</t>
        </is>
      </c>
      <c r="B73" s="1" t="n">
        <v>43476</v>
      </c>
      <c r="C73" s="1" t="n">
        <v>45356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2979-2019</t>
        </is>
      </c>
      <c r="B74" s="1" t="n">
        <v>43479</v>
      </c>
      <c r="C74" s="1" t="n">
        <v>45356</v>
      </c>
      <c r="D74" t="inlineStr">
        <is>
          <t>VÄSTRA GÖTALANDS LÄN</t>
        </is>
      </c>
      <c r="E74" t="inlineStr">
        <is>
          <t>FALKÖPING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2981-2019</t>
        </is>
      </c>
      <c r="B75" s="1" t="n">
        <v>43479</v>
      </c>
      <c r="C75" s="1" t="n">
        <v>45356</v>
      </c>
      <c r="D75" t="inlineStr">
        <is>
          <t>VÄSTRA GÖTALANDS LÄN</t>
        </is>
      </c>
      <c r="E75" t="inlineStr">
        <is>
          <t>FALKÖPING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4661-2019</t>
        </is>
      </c>
      <c r="B76" s="1" t="n">
        <v>43486</v>
      </c>
      <c r="C76" s="1" t="n">
        <v>45356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5897-2019</t>
        </is>
      </c>
      <c r="B77" s="1" t="n">
        <v>43490</v>
      </c>
      <c r="C77" s="1" t="n">
        <v>45356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5852-2019</t>
        </is>
      </c>
      <c r="B78" s="1" t="n">
        <v>43490</v>
      </c>
      <c r="C78" s="1" t="n">
        <v>45356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7680-2019</t>
        </is>
      </c>
      <c r="B79" s="1" t="n">
        <v>43500</v>
      </c>
      <c r="C79" s="1" t="n">
        <v>45356</v>
      </c>
      <c r="D79" t="inlineStr">
        <is>
          <t>VÄSTRA GÖTALANDS LÄN</t>
        </is>
      </c>
      <c r="E79" t="inlineStr">
        <is>
          <t>FALKÖPING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7803-2019</t>
        </is>
      </c>
      <c r="B80" s="1" t="n">
        <v>43500</v>
      </c>
      <c r="C80" s="1" t="n">
        <v>45356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8395-2019</t>
        </is>
      </c>
      <c r="B81" s="1" t="n">
        <v>43502</v>
      </c>
      <c r="C81" s="1" t="n">
        <v>45356</v>
      </c>
      <c r="D81" t="inlineStr">
        <is>
          <t>VÄSTRA GÖTALANDS LÄN</t>
        </is>
      </c>
      <c r="E81" t="inlineStr">
        <is>
          <t>FALKÖPING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8411-2019</t>
        </is>
      </c>
      <c r="B82" s="1" t="n">
        <v>43502</v>
      </c>
      <c r="C82" s="1" t="n">
        <v>45356</v>
      </c>
      <c r="D82" t="inlineStr">
        <is>
          <t>VÄSTRA GÖTALANDS LÄN</t>
        </is>
      </c>
      <c r="E82" t="inlineStr">
        <is>
          <t>FALKÖPING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9825-2019</t>
        </is>
      </c>
      <c r="B83" s="1" t="n">
        <v>43509</v>
      </c>
      <c r="C83" s="1" t="n">
        <v>45356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9796-2019</t>
        </is>
      </c>
      <c r="B84" s="1" t="n">
        <v>43509</v>
      </c>
      <c r="C84" s="1" t="n">
        <v>45356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10827-2019</t>
        </is>
      </c>
      <c r="B85" s="1" t="n">
        <v>43514</v>
      </c>
      <c r="C85" s="1" t="n">
        <v>45356</v>
      </c>
      <c r="D85" t="inlineStr">
        <is>
          <t>VÄSTRA GÖTALANDS LÄN</t>
        </is>
      </c>
      <c r="E85" t="inlineStr">
        <is>
          <t>FALKÖPING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11552-2019</t>
        </is>
      </c>
      <c r="B86" s="1" t="n">
        <v>43518</v>
      </c>
      <c r="C86" s="1" t="n">
        <v>45356</v>
      </c>
      <c r="D86" t="inlineStr">
        <is>
          <t>VÄSTRA GÖTALANDS LÄN</t>
        </is>
      </c>
      <c r="E86" t="inlineStr">
        <is>
          <t>FALKÖPING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15802-2019</t>
        </is>
      </c>
      <c r="B87" s="1" t="n">
        <v>43542</v>
      </c>
      <c r="C87" s="1" t="n">
        <v>45356</v>
      </c>
      <c r="D87" t="inlineStr">
        <is>
          <t>VÄSTRA GÖTALANDS LÄN</t>
        </is>
      </c>
      <c r="E87" t="inlineStr">
        <is>
          <t>FALKÖPING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15686-2019</t>
        </is>
      </c>
      <c r="B88" s="1" t="n">
        <v>43542</v>
      </c>
      <c r="C88" s="1" t="n">
        <v>45356</v>
      </c>
      <c r="D88" t="inlineStr">
        <is>
          <t>VÄSTRA GÖTALANDS LÄN</t>
        </is>
      </c>
      <c r="E88" t="inlineStr">
        <is>
          <t>FALKÖPING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15743-2019</t>
        </is>
      </c>
      <c r="B89" s="1" t="n">
        <v>43542</v>
      </c>
      <c r="C89" s="1" t="n">
        <v>45356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15803-2019</t>
        </is>
      </c>
      <c r="B90" s="1" t="n">
        <v>43542</v>
      </c>
      <c r="C90" s="1" t="n">
        <v>45356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15759-2019</t>
        </is>
      </c>
      <c r="B91" s="1" t="n">
        <v>43543</v>
      </c>
      <c r="C91" s="1" t="n">
        <v>45356</v>
      </c>
      <c r="D91" t="inlineStr">
        <is>
          <t>VÄSTRA GÖTALANDS LÄN</t>
        </is>
      </c>
      <c r="E91" t="inlineStr">
        <is>
          <t>FALKÖPING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20971-2019</t>
        </is>
      </c>
      <c r="B92" s="1" t="n">
        <v>43578</v>
      </c>
      <c r="C92" s="1" t="n">
        <v>45356</v>
      </c>
      <c r="D92" t="inlineStr">
        <is>
          <t>VÄSTRA GÖTALANDS LÄN</t>
        </is>
      </c>
      <c r="E92" t="inlineStr">
        <is>
          <t>FALKÖPING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21357-2019</t>
        </is>
      </c>
      <c r="B93" s="1" t="n">
        <v>43579</v>
      </c>
      <c r="C93" s="1" t="n">
        <v>45356</v>
      </c>
      <c r="D93" t="inlineStr">
        <is>
          <t>VÄSTRA GÖTALANDS LÄN</t>
        </is>
      </c>
      <c r="E93" t="inlineStr">
        <is>
          <t>FALKÖPING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23143-2019</t>
        </is>
      </c>
      <c r="B94" s="1" t="n">
        <v>43592</v>
      </c>
      <c r="C94" s="1" t="n">
        <v>45356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23852-2019</t>
        </is>
      </c>
      <c r="B95" s="1" t="n">
        <v>43595</v>
      </c>
      <c r="C95" s="1" t="n">
        <v>45356</v>
      </c>
      <c r="D95" t="inlineStr">
        <is>
          <t>VÄSTRA GÖTALANDS LÄN</t>
        </is>
      </c>
      <c r="E95" t="inlineStr">
        <is>
          <t>FALKÖPING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23896-2019</t>
        </is>
      </c>
      <c r="B96" s="1" t="n">
        <v>43595</v>
      </c>
      <c r="C96" s="1" t="n">
        <v>45356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25057-2019</t>
        </is>
      </c>
      <c r="B97" s="1" t="n">
        <v>43604</v>
      </c>
      <c r="C97" s="1" t="n">
        <v>45356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25058-2019</t>
        </is>
      </c>
      <c r="B98" s="1" t="n">
        <v>43604</v>
      </c>
      <c r="C98" s="1" t="n">
        <v>45356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25183-2019</t>
        </is>
      </c>
      <c r="B99" s="1" t="n">
        <v>43605</v>
      </c>
      <c r="C99" s="1" t="n">
        <v>45356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25605-2019</t>
        </is>
      </c>
      <c r="B100" s="1" t="n">
        <v>43607</v>
      </c>
      <c r="C100" s="1" t="n">
        <v>45356</v>
      </c>
      <c r="D100" t="inlineStr">
        <is>
          <t>VÄSTRA GÖTALANDS LÄN</t>
        </is>
      </c>
      <c r="E100" t="inlineStr">
        <is>
          <t>FALKÖPING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26118-2019</t>
        </is>
      </c>
      <c r="B101" s="1" t="n">
        <v>43609</v>
      </c>
      <c r="C101" s="1" t="n">
        <v>45356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26419-2019</t>
        </is>
      </c>
      <c r="B102" s="1" t="n">
        <v>43612</v>
      </c>
      <c r="C102" s="1" t="n">
        <v>45356</v>
      </c>
      <c r="D102" t="inlineStr">
        <is>
          <t>VÄSTRA GÖTALANDS LÄN</t>
        </is>
      </c>
      <c r="E102" t="inlineStr">
        <is>
          <t>FALKÖPING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28644-2019</t>
        </is>
      </c>
      <c r="B103" s="1" t="n">
        <v>43614</v>
      </c>
      <c r="C103" s="1" t="n">
        <v>45356</v>
      </c>
      <c r="D103" t="inlineStr">
        <is>
          <t>VÄSTRA GÖTALANDS LÄN</t>
        </is>
      </c>
      <c r="E103" t="inlineStr">
        <is>
          <t>FALKÖPING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27543-2019</t>
        </is>
      </c>
      <c r="B104" s="1" t="n">
        <v>43619</v>
      </c>
      <c r="C104" s="1" t="n">
        <v>45356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27882-2019</t>
        </is>
      </c>
      <c r="B105" s="1" t="n">
        <v>43620</v>
      </c>
      <c r="C105" s="1" t="n">
        <v>45356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29130-2019</t>
        </is>
      </c>
      <c r="B106" s="1" t="n">
        <v>43628</v>
      </c>
      <c r="C106" s="1" t="n">
        <v>45356</v>
      </c>
      <c r="D106" t="inlineStr">
        <is>
          <t>VÄSTRA GÖTALANDS LÄN</t>
        </is>
      </c>
      <c r="E106" t="inlineStr">
        <is>
          <t>FALKÖPING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31085-2019</t>
        </is>
      </c>
      <c r="B107" s="1" t="n">
        <v>43640</v>
      </c>
      <c r="C107" s="1" t="n">
        <v>45356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31517-2019</t>
        </is>
      </c>
      <c r="B108" s="1" t="n">
        <v>43641</v>
      </c>
      <c r="C108" s="1" t="n">
        <v>45356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32005-2019</t>
        </is>
      </c>
      <c r="B109" s="1" t="n">
        <v>43643</v>
      </c>
      <c r="C109" s="1" t="n">
        <v>45356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33773-2019</t>
        </is>
      </c>
      <c r="B110" s="1" t="n">
        <v>43651</v>
      </c>
      <c r="C110" s="1" t="n">
        <v>45356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34710-2019</t>
        </is>
      </c>
      <c r="B111" s="1" t="n">
        <v>43657</v>
      </c>
      <c r="C111" s="1" t="n">
        <v>45356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36413-2019</t>
        </is>
      </c>
      <c r="B112" s="1" t="n">
        <v>43663</v>
      </c>
      <c r="C112" s="1" t="n">
        <v>45356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36662-2019</t>
        </is>
      </c>
      <c r="B113" s="1" t="n">
        <v>43671</v>
      </c>
      <c r="C113" s="1" t="n">
        <v>45356</v>
      </c>
      <c r="D113" t="inlineStr">
        <is>
          <t>VÄSTRA GÖTALANDS LÄN</t>
        </is>
      </c>
      <c r="E113" t="inlineStr">
        <is>
          <t>FALKÖPING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38552-2019</t>
        </is>
      </c>
      <c r="B114" s="1" t="n">
        <v>43685</v>
      </c>
      <c r="C114" s="1" t="n">
        <v>45356</v>
      </c>
      <c r="D114" t="inlineStr">
        <is>
          <t>VÄSTRA GÖTALANDS LÄN</t>
        </is>
      </c>
      <c r="E114" t="inlineStr">
        <is>
          <t>FALKÖPING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38553-2019</t>
        </is>
      </c>
      <c r="B115" s="1" t="n">
        <v>43685</v>
      </c>
      <c r="C115" s="1" t="n">
        <v>45356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40395-2019</t>
        </is>
      </c>
      <c r="B116" s="1" t="n">
        <v>43696</v>
      </c>
      <c r="C116" s="1" t="n">
        <v>45356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41735-2019</t>
        </is>
      </c>
      <c r="B117" s="1" t="n">
        <v>43699</v>
      </c>
      <c r="C117" s="1" t="n">
        <v>45356</v>
      </c>
      <c r="D117" t="inlineStr">
        <is>
          <t>VÄSTRA GÖTALANDS LÄN</t>
        </is>
      </c>
      <c r="E117" t="inlineStr">
        <is>
          <t>FALKÖPING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42706-2019</t>
        </is>
      </c>
      <c r="B118" s="1" t="n">
        <v>43699</v>
      </c>
      <c r="C118" s="1" t="n">
        <v>45356</v>
      </c>
      <c r="D118" t="inlineStr">
        <is>
          <t>VÄSTRA GÖTALANDS LÄN</t>
        </is>
      </c>
      <c r="E118" t="inlineStr">
        <is>
          <t>FALKÖPING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41736-2019</t>
        </is>
      </c>
      <c r="B119" s="1" t="n">
        <v>43699</v>
      </c>
      <c r="C119" s="1" t="n">
        <v>45356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43016-2019</t>
        </is>
      </c>
      <c r="B120" s="1" t="n">
        <v>43700</v>
      </c>
      <c r="C120" s="1" t="n">
        <v>45356</v>
      </c>
      <c r="D120" t="inlineStr">
        <is>
          <t>VÄSTRA GÖTALANDS LÄN</t>
        </is>
      </c>
      <c r="E120" t="inlineStr">
        <is>
          <t>FALKÖPING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41837-2019</t>
        </is>
      </c>
      <c r="B121" s="1" t="n">
        <v>43700</v>
      </c>
      <c r="C121" s="1" t="n">
        <v>45356</v>
      </c>
      <c r="D121" t="inlineStr">
        <is>
          <t>VÄSTRA GÖTALANDS LÄN</t>
        </is>
      </c>
      <c r="E121" t="inlineStr">
        <is>
          <t>FALKÖPING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43087-2019</t>
        </is>
      </c>
      <c r="B122" s="1" t="n">
        <v>43700</v>
      </c>
      <c r="C122" s="1" t="n">
        <v>45356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43011-2019</t>
        </is>
      </c>
      <c r="B123" s="1" t="n">
        <v>43700</v>
      </c>
      <c r="C123" s="1" t="n">
        <v>45356</v>
      </c>
      <c r="D123" t="inlineStr">
        <is>
          <t>VÄSTRA GÖTALANDS LÄN</t>
        </is>
      </c>
      <c r="E123" t="inlineStr">
        <is>
          <t>FALKÖPING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43129-2019</t>
        </is>
      </c>
      <c r="B124" s="1" t="n">
        <v>43700</v>
      </c>
      <c r="C124" s="1" t="n">
        <v>45356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43024-2019</t>
        </is>
      </c>
      <c r="B125" s="1" t="n">
        <v>43700</v>
      </c>
      <c r="C125" s="1" t="n">
        <v>45356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43843-2019</t>
        </is>
      </c>
      <c r="B126" s="1" t="n">
        <v>43707</v>
      </c>
      <c r="C126" s="1" t="n">
        <v>45356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44394-2019</t>
        </is>
      </c>
      <c r="B127" s="1" t="n">
        <v>43711</v>
      </c>
      <c r="C127" s="1" t="n">
        <v>45356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45575-2019</t>
        </is>
      </c>
      <c r="B128" s="1" t="n">
        <v>43716</v>
      </c>
      <c r="C128" s="1" t="n">
        <v>45356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49219-2019</t>
        </is>
      </c>
      <c r="B129" s="1" t="n">
        <v>43731</v>
      </c>
      <c r="C129" s="1" t="n">
        <v>45356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52946-2019</t>
        </is>
      </c>
      <c r="B130" s="1" t="n">
        <v>43747</v>
      </c>
      <c r="C130" s="1" t="n">
        <v>45356</v>
      </c>
      <c r="D130" t="inlineStr">
        <is>
          <t>VÄSTRA GÖTALANDS LÄN</t>
        </is>
      </c>
      <c r="E130" t="inlineStr">
        <is>
          <t>FALKÖPING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56402-2019</t>
        </is>
      </c>
      <c r="B131" s="1" t="n">
        <v>43762</v>
      </c>
      <c r="C131" s="1" t="n">
        <v>45356</v>
      </c>
      <c r="D131" t="inlineStr">
        <is>
          <t>VÄSTRA GÖTALANDS LÄN</t>
        </is>
      </c>
      <c r="E131" t="inlineStr">
        <is>
          <t>FALKÖPING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56416-2019</t>
        </is>
      </c>
      <c r="B132" s="1" t="n">
        <v>43762</v>
      </c>
      <c r="C132" s="1" t="n">
        <v>45356</v>
      </c>
      <c r="D132" t="inlineStr">
        <is>
          <t>VÄSTRA GÖTALANDS LÄN</t>
        </is>
      </c>
      <c r="E132" t="inlineStr">
        <is>
          <t>FALKÖPING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56406-2019</t>
        </is>
      </c>
      <c r="B133" s="1" t="n">
        <v>43762</v>
      </c>
      <c r="C133" s="1" t="n">
        <v>45356</v>
      </c>
      <c r="D133" t="inlineStr">
        <is>
          <t>VÄSTRA GÖTALANDS LÄN</t>
        </is>
      </c>
      <c r="E133" t="inlineStr">
        <is>
          <t>FALKÖPING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56411-2019</t>
        </is>
      </c>
      <c r="B134" s="1" t="n">
        <v>43762</v>
      </c>
      <c r="C134" s="1" t="n">
        <v>45356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59800-2019</t>
        </is>
      </c>
      <c r="B135" s="1" t="n">
        <v>43774</v>
      </c>
      <c r="C135" s="1" t="n">
        <v>45356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62082-2019</t>
        </is>
      </c>
      <c r="B136" s="1" t="n">
        <v>43782</v>
      </c>
      <c r="C136" s="1" t="n">
        <v>45356</v>
      </c>
      <c r="D136" t="inlineStr">
        <is>
          <t>VÄSTRA GÖTALANDS LÄN</t>
        </is>
      </c>
      <c r="E136" t="inlineStr">
        <is>
          <t>FALKÖPING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61320-2019</t>
        </is>
      </c>
      <c r="B137" s="1" t="n">
        <v>43783</v>
      </c>
      <c r="C137" s="1" t="n">
        <v>45356</v>
      </c>
      <c r="D137" t="inlineStr">
        <is>
          <t>VÄSTRA GÖTALANDS LÄN</t>
        </is>
      </c>
      <c r="E137" t="inlineStr">
        <is>
          <t>FALKÖPING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62446-2019</t>
        </is>
      </c>
      <c r="B138" s="1" t="n">
        <v>43788</v>
      </c>
      <c r="C138" s="1" t="n">
        <v>45356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62762-2019</t>
        </is>
      </c>
      <c r="B139" s="1" t="n">
        <v>43790</v>
      </c>
      <c r="C139" s="1" t="n">
        <v>45356</v>
      </c>
      <c r="D139" t="inlineStr">
        <is>
          <t>VÄSTRA GÖTALANDS LÄN</t>
        </is>
      </c>
      <c r="E139" t="inlineStr">
        <is>
          <t>FALKÖPING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62992-2019</t>
        </is>
      </c>
      <c r="B140" s="1" t="n">
        <v>43790</v>
      </c>
      <c r="C140" s="1" t="n">
        <v>45356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63021-2019</t>
        </is>
      </c>
      <c r="B141" s="1" t="n">
        <v>43791</v>
      </c>
      <c r="C141" s="1" t="n">
        <v>45356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65959-2019</t>
        </is>
      </c>
      <c r="B142" s="1" t="n">
        <v>43798</v>
      </c>
      <c r="C142" s="1" t="n">
        <v>45356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65964-2019</t>
        </is>
      </c>
      <c r="B143" s="1" t="n">
        <v>43798</v>
      </c>
      <c r="C143" s="1" t="n">
        <v>45356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65472-2019</t>
        </is>
      </c>
      <c r="B144" s="1" t="n">
        <v>43803</v>
      </c>
      <c r="C144" s="1" t="n">
        <v>45356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65474-2019</t>
        </is>
      </c>
      <c r="B145" s="1" t="n">
        <v>43803</v>
      </c>
      <c r="C145" s="1" t="n">
        <v>45356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66031-2019</t>
        </is>
      </c>
      <c r="B146" s="1" t="n">
        <v>43805</v>
      </c>
      <c r="C146" s="1" t="n">
        <v>45356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67353-2019</t>
        </is>
      </c>
      <c r="B147" s="1" t="n">
        <v>43812</v>
      </c>
      <c r="C147" s="1" t="n">
        <v>45356</v>
      </c>
      <c r="D147" t="inlineStr">
        <is>
          <t>VÄSTRA GÖTALANDS LÄN</t>
        </is>
      </c>
      <c r="E147" t="inlineStr">
        <is>
          <t>FALKÖPING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69001-2019</t>
        </is>
      </c>
      <c r="B148" s="1" t="n">
        <v>43826</v>
      </c>
      <c r="C148" s="1" t="n">
        <v>45356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1524-2020</t>
        </is>
      </c>
      <c r="B149" s="1" t="n">
        <v>43826</v>
      </c>
      <c r="C149" s="1" t="n">
        <v>45356</v>
      </c>
      <c r="D149" t="inlineStr">
        <is>
          <t>VÄSTRA GÖTALANDS LÄN</t>
        </is>
      </c>
      <c r="E149" t="inlineStr">
        <is>
          <t>FALKÖPING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979-2020</t>
        </is>
      </c>
      <c r="B150" s="1" t="n">
        <v>43839</v>
      </c>
      <c r="C150" s="1" t="n">
        <v>45356</v>
      </c>
      <c r="D150" t="inlineStr">
        <is>
          <t>VÄSTRA GÖTALANDS LÄN</t>
        </is>
      </c>
      <c r="E150" t="inlineStr">
        <is>
          <t>FALKÖPING</t>
        </is>
      </c>
      <c r="G150" t="n">
        <v>127.7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2949-2020</t>
        </is>
      </c>
      <c r="B151" s="1" t="n">
        <v>43850</v>
      </c>
      <c r="C151" s="1" t="n">
        <v>45356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2819-2020</t>
        </is>
      </c>
      <c r="B152" s="1" t="n">
        <v>43850</v>
      </c>
      <c r="C152" s="1" t="n">
        <v>45356</v>
      </c>
      <c r="D152" t="inlineStr">
        <is>
          <t>VÄSTRA GÖTALANDS LÄN</t>
        </is>
      </c>
      <c r="E152" t="inlineStr">
        <is>
          <t>FALKÖPING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4572-2020</t>
        </is>
      </c>
      <c r="B153" s="1" t="n">
        <v>43852</v>
      </c>
      <c r="C153" s="1" t="n">
        <v>45356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4580-2020</t>
        </is>
      </c>
      <c r="B154" s="1" t="n">
        <v>43852</v>
      </c>
      <c r="C154" s="1" t="n">
        <v>45356</v>
      </c>
      <c r="D154" t="inlineStr">
        <is>
          <t>VÄSTRA GÖTALANDS LÄN</t>
        </is>
      </c>
      <c r="E154" t="inlineStr">
        <is>
          <t>FALKÖPING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4766-2020</t>
        </is>
      </c>
      <c r="B155" s="1" t="n">
        <v>43852</v>
      </c>
      <c r="C155" s="1" t="n">
        <v>45356</v>
      </c>
      <c r="D155" t="inlineStr">
        <is>
          <t>VÄSTRA GÖTALANDS LÄN</t>
        </is>
      </c>
      <c r="E155" t="inlineStr">
        <is>
          <t>FALKÖPING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4620-2020</t>
        </is>
      </c>
      <c r="B156" s="1" t="n">
        <v>43852</v>
      </c>
      <c r="C156" s="1" t="n">
        <v>45356</v>
      </c>
      <c r="D156" t="inlineStr">
        <is>
          <t>VÄSTRA GÖTALANDS LÄN</t>
        </is>
      </c>
      <c r="E156" t="inlineStr">
        <is>
          <t>FALKÖPING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4820-2020</t>
        </is>
      </c>
      <c r="B157" s="1" t="n">
        <v>43852</v>
      </c>
      <c r="C157" s="1" t="n">
        <v>45356</v>
      </c>
      <c r="D157" t="inlineStr">
        <is>
          <t>VÄSTRA GÖTALANDS LÄN</t>
        </is>
      </c>
      <c r="E157" t="inlineStr">
        <is>
          <t>FALKÖPING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4838-2020</t>
        </is>
      </c>
      <c r="B158" s="1" t="n">
        <v>43852</v>
      </c>
      <c r="C158" s="1" t="n">
        <v>45356</v>
      </c>
      <c r="D158" t="inlineStr">
        <is>
          <t>VÄSTRA GÖTALANDS LÄN</t>
        </is>
      </c>
      <c r="E158" t="inlineStr">
        <is>
          <t>FALKÖPING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4591-2020</t>
        </is>
      </c>
      <c r="B159" s="1" t="n">
        <v>43852</v>
      </c>
      <c r="C159" s="1" t="n">
        <v>45356</v>
      </c>
      <c r="D159" t="inlineStr">
        <is>
          <t>VÄSTRA GÖTALANDS LÄN</t>
        </is>
      </c>
      <c r="E159" t="inlineStr">
        <is>
          <t>FALKÖPING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4843-2020</t>
        </is>
      </c>
      <c r="B160" s="1" t="n">
        <v>43852</v>
      </c>
      <c r="C160" s="1" t="n">
        <v>45356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4924-2020</t>
        </is>
      </c>
      <c r="B161" s="1" t="n">
        <v>43852</v>
      </c>
      <c r="C161" s="1" t="n">
        <v>45356</v>
      </c>
      <c r="D161" t="inlineStr">
        <is>
          <t>VÄSTRA GÖTALANDS LÄN</t>
        </is>
      </c>
      <c r="E161" t="inlineStr">
        <is>
          <t>FALKÖPING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3579-2020</t>
        </is>
      </c>
      <c r="B162" s="1" t="n">
        <v>43853</v>
      </c>
      <c r="C162" s="1" t="n">
        <v>45356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3627-2020</t>
        </is>
      </c>
      <c r="B163" s="1" t="n">
        <v>43853</v>
      </c>
      <c r="C163" s="1" t="n">
        <v>45356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3867-2020</t>
        </is>
      </c>
      <c r="B164" s="1" t="n">
        <v>43854</v>
      </c>
      <c r="C164" s="1" t="n">
        <v>45356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4532-2020</t>
        </is>
      </c>
      <c r="B165" s="1" t="n">
        <v>43858</v>
      </c>
      <c r="C165" s="1" t="n">
        <v>45356</v>
      </c>
      <c r="D165" t="inlineStr">
        <is>
          <t>VÄSTRA GÖTALANDS LÄN</t>
        </is>
      </c>
      <c r="E165" t="inlineStr">
        <is>
          <t>FALKÖPING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6447-2020</t>
        </is>
      </c>
      <c r="B166" s="1" t="n">
        <v>43866</v>
      </c>
      <c r="C166" s="1" t="n">
        <v>45356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6919-2020</t>
        </is>
      </c>
      <c r="B167" s="1" t="n">
        <v>43868</v>
      </c>
      <c r="C167" s="1" t="n">
        <v>45356</v>
      </c>
      <c r="D167" t="inlineStr">
        <is>
          <t>VÄSTRA GÖTALANDS LÄN</t>
        </is>
      </c>
      <c r="E167" t="inlineStr">
        <is>
          <t>FALKÖPING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6921-2020</t>
        </is>
      </c>
      <c r="B168" s="1" t="n">
        <v>43868</v>
      </c>
      <c r="C168" s="1" t="n">
        <v>45356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7100-2020</t>
        </is>
      </c>
      <c r="B169" s="1" t="n">
        <v>43868</v>
      </c>
      <c r="C169" s="1" t="n">
        <v>45356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7905-2020</t>
        </is>
      </c>
      <c r="B170" s="1" t="n">
        <v>43873</v>
      </c>
      <c r="C170" s="1" t="n">
        <v>45356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7912-2020</t>
        </is>
      </c>
      <c r="B171" s="1" t="n">
        <v>43873</v>
      </c>
      <c r="C171" s="1" t="n">
        <v>45356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8120-2020</t>
        </is>
      </c>
      <c r="B172" s="1" t="n">
        <v>43874</v>
      </c>
      <c r="C172" s="1" t="n">
        <v>45356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8705-2020</t>
        </is>
      </c>
      <c r="B173" s="1" t="n">
        <v>43878</v>
      </c>
      <c r="C173" s="1" t="n">
        <v>45356</v>
      </c>
      <c r="D173" t="inlineStr">
        <is>
          <t>VÄSTRA GÖTALANDS LÄN</t>
        </is>
      </c>
      <c r="E173" t="inlineStr">
        <is>
          <t>FALKÖPING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8746-2020</t>
        </is>
      </c>
      <c r="B174" s="1" t="n">
        <v>43878</v>
      </c>
      <c r="C174" s="1" t="n">
        <v>45356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10903-2020</t>
        </is>
      </c>
      <c r="B175" s="1" t="n">
        <v>43889</v>
      </c>
      <c r="C175" s="1" t="n">
        <v>45356</v>
      </c>
      <c r="D175" t="inlineStr">
        <is>
          <t>VÄSTRA GÖTALANDS LÄN</t>
        </is>
      </c>
      <c r="E175" t="inlineStr">
        <is>
          <t>FALKÖPING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11139-2020</t>
        </is>
      </c>
      <c r="B176" s="1" t="n">
        <v>43890</v>
      </c>
      <c r="C176" s="1" t="n">
        <v>45356</v>
      </c>
      <c r="D176" t="inlineStr">
        <is>
          <t>VÄSTRA GÖTALANDS LÄN</t>
        </is>
      </c>
      <c r="E176" t="inlineStr">
        <is>
          <t>FALKÖPING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11869-2020</t>
        </is>
      </c>
      <c r="B177" s="1" t="n">
        <v>43894</v>
      </c>
      <c r="C177" s="1" t="n">
        <v>45356</v>
      </c>
      <c r="D177" t="inlineStr">
        <is>
          <t>VÄSTRA GÖTALANDS LÄN</t>
        </is>
      </c>
      <c r="E177" t="inlineStr">
        <is>
          <t>FALKÖPING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12956-2020</t>
        </is>
      </c>
      <c r="B178" s="1" t="n">
        <v>43900</v>
      </c>
      <c r="C178" s="1" t="n">
        <v>45356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16066-2020</t>
        </is>
      </c>
      <c r="B179" s="1" t="n">
        <v>43907</v>
      </c>
      <c r="C179" s="1" t="n">
        <v>45356</v>
      </c>
      <c r="D179" t="inlineStr">
        <is>
          <t>VÄSTRA GÖTALANDS LÄN</t>
        </is>
      </c>
      <c r="E179" t="inlineStr">
        <is>
          <t>FALKÖPING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14219-2020</t>
        </is>
      </c>
      <c r="B180" s="1" t="n">
        <v>43907</v>
      </c>
      <c r="C180" s="1" t="n">
        <v>45356</v>
      </c>
      <c r="D180" t="inlineStr">
        <is>
          <t>VÄSTRA GÖTALANDS LÄN</t>
        </is>
      </c>
      <c r="E180" t="inlineStr">
        <is>
          <t>FALKÖPING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16219-2020</t>
        </is>
      </c>
      <c r="B181" s="1" t="n">
        <v>43907</v>
      </c>
      <c r="C181" s="1" t="n">
        <v>45356</v>
      </c>
      <c r="D181" t="inlineStr">
        <is>
          <t>VÄSTRA GÖTALANDS LÄN</t>
        </is>
      </c>
      <c r="E181" t="inlineStr">
        <is>
          <t>FALKÖPING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16237-2020</t>
        </is>
      </c>
      <c r="B182" s="1" t="n">
        <v>43907</v>
      </c>
      <c r="C182" s="1" t="n">
        <v>45356</v>
      </c>
      <c r="D182" t="inlineStr">
        <is>
          <t>VÄSTRA GÖTALANDS LÄN</t>
        </is>
      </c>
      <c r="E182" t="inlineStr">
        <is>
          <t>FALKÖPING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14383-2020</t>
        </is>
      </c>
      <c r="B183" s="1" t="n">
        <v>43908</v>
      </c>
      <c r="C183" s="1" t="n">
        <v>45356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14396-2020</t>
        </is>
      </c>
      <c r="B184" s="1" t="n">
        <v>43908</v>
      </c>
      <c r="C184" s="1" t="n">
        <v>45356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14342-2020</t>
        </is>
      </c>
      <c r="B185" s="1" t="n">
        <v>43908</v>
      </c>
      <c r="C185" s="1" t="n">
        <v>45356</v>
      </c>
      <c r="D185" t="inlineStr">
        <is>
          <t>VÄSTRA GÖTALANDS LÄN</t>
        </is>
      </c>
      <c r="E185" t="inlineStr">
        <is>
          <t>FALKÖPING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16418-2020</t>
        </is>
      </c>
      <c r="B186" s="1" t="n">
        <v>43919</v>
      </c>
      <c r="C186" s="1" t="n">
        <v>45356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16920-2020</t>
        </is>
      </c>
      <c r="B187" s="1" t="n">
        <v>43921</v>
      </c>
      <c r="C187" s="1" t="n">
        <v>45356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16909-2020</t>
        </is>
      </c>
      <c r="B188" s="1" t="n">
        <v>43921</v>
      </c>
      <c r="C188" s="1" t="n">
        <v>45356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21962-2020</t>
        </is>
      </c>
      <c r="B189" s="1" t="n">
        <v>43959</v>
      </c>
      <c r="C189" s="1" t="n">
        <v>45356</v>
      </c>
      <c r="D189" t="inlineStr">
        <is>
          <t>VÄSTRA GÖTALANDS LÄN</t>
        </is>
      </c>
      <c r="E189" t="inlineStr">
        <is>
          <t>FALKÖPING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23045-2020</t>
        </is>
      </c>
      <c r="B190" s="1" t="n">
        <v>43965</v>
      </c>
      <c r="C190" s="1" t="n">
        <v>45356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26663-2020</t>
        </is>
      </c>
      <c r="B191" s="1" t="n">
        <v>43989</v>
      </c>
      <c r="C191" s="1" t="n">
        <v>45356</v>
      </c>
      <c r="D191" t="inlineStr">
        <is>
          <t>VÄSTRA GÖTALANDS LÄN</t>
        </is>
      </c>
      <c r="E191" t="inlineStr">
        <is>
          <t>FALKÖPING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26893-2020</t>
        </is>
      </c>
      <c r="B192" s="1" t="n">
        <v>43990</v>
      </c>
      <c r="C192" s="1" t="n">
        <v>45356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27313-2020</t>
        </is>
      </c>
      <c r="B193" s="1" t="n">
        <v>43992</v>
      </c>
      <c r="C193" s="1" t="n">
        <v>45356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27392-2020</t>
        </is>
      </c>
      <c r="B194" s="1" t="n">
        <v>43992</v>
      </c>
      <c r="C194" s="1" t="n">
        <v>45356</v>
      </c>
      <c r="D194" t="inlineStr">
        <is>
          <t>VÄSTRA GÖTALANDS LÄN</t>
        </is>
      </c>
      <c r="E194" t="inlineStr">
        <is>
          <t>FALKÖPING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28344-2020</t>
        </is>
      </c>
      <c r="B195" s="1" t="n">
        <v>43998</v>
      </c>
      <c r="C195" s="1" t="n">
        <v>45356</v>
      </c>
      <c r="D195" t="inlineStr">
        <is>
          <t>VÄSTRA GÖTALANDS LÄN</t>
        </is>
      </c>
      <c r="E195" t="inlineStr">
        <is>
          <t>FALKÖPING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28635-2020</t>
        </is>
      </c>
      <c r="B196" s="1" t="n">
        <v>43999</v>
      </c>
      <c r="C196" s="1" t="n">
        <v>45356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28795-2020</t>
        </is>
      </c>
      <c r="B197" s="1" t="n">
        <v>44000</v>
      </c>
      <c r="C197" s="1" t="n">
        <v>45356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31267-2020</t>
        </is>
      </c>
      <c r="B198" s="1" t="n">
        <v>44012</v>
      </c>
      <c r="C198" s="1" t="n">
        <v>45356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32865-2020</t>
        </is>
      </c>
      <c r="B199" s="1" t="n">
        <v>44020</v>
      </c>
      <c r="C199" s="1" t="n">
        <v>45356</v>
      </c>
      <c r="D199" t="inlineStr">
        <is>
          <t>VÄSTRA GÖTALANDS LÄN</t>
        </is>
      </c>
      <c r="E199" t="inlineStr">
        <is>
          <t>FALKÖPING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33490-2020</t>
        </is>
      </c>
      <c r="B200" s="1" t="n">
        <v>44024</v>
      </c>
      <c r="C200" s="1" t="n">
        <v>45356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41143-2020</t>
        </is>
      </c>
      <c r="B201" s="1" t="n">
        <v>44071</v>
      </c>
      <c r="C201" s="1" t="n">
        <v>45356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41164-2020</t>
        </is>
      </c>
      <c r="B202" s="1" t="n">
        <v>44071</v>
      </c>
      <c r="C202" s="1" t="n">
        <v>45356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45330-2020</t>
        </is>
      </c>
      <c r="B203" s="1" t="n">
        <v>44089</v>
      </c>
      <c r="C203" s="1" t="n">
        <v>45356</v>
      </c>
      <c r="D203" t="inlineStr">
        <is>
          <t>VÄSTRA GÖTALANDS LÄN</t>
        </is>
      </c>
      <c r="E203" t="inlineStr">
        <is>
          <t>FALKÖPING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46668-2020</t>
        </is>
      </c>
      <c r="B204" s="1" t="n">
        <v>44089</v>
      </c>
      <c r="C204" s="1" t="n">
        <v>45356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46644-2020</t>
        </is>
      </c>
      <c r="B205" s="1" t="n">
        <v>44089</v>
      </c>
      <c r="C205" s="1" t="n">
        <v>45356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46669-2020</t>
        </is>
      </c>
      <c r="B206" s="1" t="n">
        <v>44089</v>
      </c>
      <c r="C206" s="1" t="n">
        <v>45356</v>
      </c>
      <c r="D206" t="inlineStr">
        <is>
          <t>VÄSTRA GÖTALANDS LÄN</t>
        </is>
      </c>
      <c r="E206" t="inlineStr">
        <is>
          <t>FALKÖPING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46642-2020</t>
        </is>
      </c>
      <c r="B207" s="1" t="n">
        <v>44089</v>
      </c>
      <c r="C207" s="1" t="n">
        <v>45356</v>
      </c>
      <c r="D207" t="inlineStr">
        <is>
          <t>VÄSTRA GÖTALANDS LÄN</t>
        </is>
      </c>
      <c r="E207" t="inlineStr">
        <is>
          <t>FALKÖPING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46005-2020</t>
        </is>
      </c>
      <c r="B208" s="1" t="n">
        <v>44091</v>
      </c>
      <c r="C208" s="1" t="n">
        <v>45356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50335-2020</t>
        </is>
      </c>
      <c r="B209" s="1" t="n">
        <v>44105</v>
      </c>
      <c r="C209" s="1" t="n">
        <v>45356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49831-2020</t>
        </is>
      </c>
      <c r="B210" s="1" t="n">
        <v>44106</v>
      </c>
      <c r="C210" s="1" t="n">
        <v>45356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49922-2020</t>
        </is>
      </c>
      <c r="B211" s="1" t="n">
        <v>44109</v>
      </c>
      <c r="C211" s="1" t="n">
        <v>45356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49939-2020</t>
        </is>
      </c>
      <c r="B212" s="1" t="n">
        <v>44109</v>
      </c>
      <c r="C212" s="1" t="n">
        <v>45356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51423-2020</t>
        </is>
      </c>
      <c r="B213" s="1" t="n">
        <v>44113</v>
      </c>
      <c r="C213" s="1" t="n">
        <v>45356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52352-2020</t>
        </is>
      </c>
      <c r="B214" s="1" t="n">
        <v>44117</v>
      </c>
      <c r="C214" s="1" t="n">
        <v>45356</v>
      </c>
      <c r="D214" t="inlineStr">
        <is>
          <t>VÄSTRA GÖTALANDS LÄN</t>
        </is>
      </c>
      <c r="E214" t="inlineStr">
        <is>
          <t>FALKÖPING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53084-2020</t>
        </is>
      </c>
      <c r="B215" s="1" t="n">
        <v>44120</v>
      </c>
      <c r="C215" s="1" t="n">
        <v>45356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54971-2020</t>
        </is>
      </c>
      <c r="B216" s="1" t="n">
        <v>44125</v>
      </c>
      <c r="C216" s="1" t="n">
        <v>45356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54400-2020</t>
        </is>
      </c>
      <c r="B217" s="1" t="n">
        <v>44126</v>
      </c>
      <c r="C217" s="1" t="n">
        <v>45356</v>
      </c>
      <c r="D217" t="inlineStr">
        <is>
          <t>VÄSTRA GÖTALANDS LÄN</t>
        </is>
      </c>
      <c r="E217" t="inlineStr">
        <is>
          <t>FALKÖPING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55504-2020</t>
        </is>
      </c>
      <c r="B218" s="1" t="n">
        <v>44131</v>
      </c>
      <c r="C218" s="1" t="n">
        <v>45356</v>
      </c>
      <c r="D218" t="inlineStr">
        <is>
          <t>VÄSTRA GÖTALANDS LÄN</t>
        </is>
      </c>
      <c r="E218" t="inlineStr">
        <is>
          <t>FALKÖPING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55634-2020</t>
        </is>
      </c>
      <c r="B219" s="1" t="n">
        <v>44131</v>
      </c>
      <c r="C219" s="1" t="n">
        <v>45356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57815-2020</t>
        </is>
      </c>
      <c r="B220" s="1" t="n">
        <v>44141</v>
      </c>
      <c r="C220" s="1" t="n">
        <v>45356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57953-2020</t>
        </is>
      </c>
      <c r="B221" s="1" t="n">
        <v>44142</v>
      </c>
      <c r="C221" s="1" t="n">
        <v>45356</v>
      </c>
      <c r="D221" t="inlineStr">
        <is>
          <t>VÄSTRA GÖTALANDS LÄN</t>
        </is>
      </c>
      <c r="E221" t="inlineStr">
        <is>
          <t>FALKÖPING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57952-2020</t>
        </is>
      </c>
      <c r="B222" s="1" t="n">
        <v>44142</v>
      </c>
      <c r="C222" s="1" t="n">
        <v>45356</v>
      </c>
      <c r="D222" t="inlineStr">
        <is>
          <t>VÄSTRA GÖTALANDS LÄN</t>
        </is>
      </c>
      <c r="E222" t="inlineStr">
        <is>
          <t>FALKÖPING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59004-2020</t>
        </is>
      </c>
      <c r="B223" s="1" t="n">
        <v>44146</v>
      </c>
      <c r="C223" s="1" t="n">
        <v>45356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58996-2020</t>
        </is>
      </c>
      <c r="B224" s="1" t="n">
        <v>44146</v>
      </c>
      <c r="C224" s="1" t="n">
        <v>45356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60560-2020</t>
        </is>
      </c>
      <c r="B225" s="1" t="n">
        <v>44153</v>
      </c>
      <c r="C225" s="1" t="n">
        <v>45356</v>
      </c>
      <c r="D225" t="inlineStr">
        <is>
          <t>VÄSTRA GÖTALANDS LÄN</t>
        </is>
      </c>
      <c r="E225" t="inlineStr">
        <is>
          <t>FALKÖPING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61253-2020</t>
        </is>
      </c>
      <c r="B226" s="1" t="n">
        <v>44155</v>
      </c>
      <c r="C226" s="1" t="n">
        <v>45356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61985-2020</t>
        </is>
      </c>
      <c r="B227" s="1" t="n">
        <v>44157</v>
      </c>
      <c r="C227" s="1" t="n">
        <v>45356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61983-2020</t>
        </is>
      </c>
      <c r="B228" s="1" t="n">
        <v>44157</v>
      </c>
      <c r="C228" s="1" t="n">
        <v>45356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62034-2020</t>
        </is>
      </c>
      <c r="B229" s="1" t="n">
        <v>44157</v>
      </c>
      <c r="C229" s="1" t="n">
        <v>45356</v>
      </c>
      <c r="D229" t="inlineStr">
        <is>
          <t>VÄSTRA GÖTALANDS LÄN</t>
        </is>
      </c>
      <c r="E229" t="inlineStr">
        <is>
          <t>FALKÖPING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62012-2020</t>
        </is>
      </c>
      <c r="B230" s="1" t="n">
        <v>44159</v>
      </c>
      <c r="C230" s="1" t="n">
        <v>45356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62028-2020</t>
        </is>
      </c>
      <c r="B231" s="1" t="n">
        <v>44159</v>
      </c>
      <c r="C231" s="1" t="n">
        <v>45356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63025-2020</t>
        </is>
      </c>
      <c r="B232" s="1" t="n">
        <v>44162</v>
      </c>
      <c r="C232" s="1" t="n">
        <v>45356</v>
      </c>
      <c r="D232" t="inlineStr">
        <is>
          <t>VÄSTRA GÖTALANDS LÄN</t>
        </is>
      </c>
      <c r="E232" t="inlineStr">
        <is>
          <t>FALKÖPING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63027-2020</t>
        </is>
      </c>
      <c r="B233" s="1" t="n">
        <v>44162</v>
      </c>
      <c r="C233" s="1" t="n">
        <v>45356</v>
      </c>
      <c r="D233" t="inlineStr">
        <is>
          <t>VÄSTRA GÖTALANDS LÄN</t>
        </is>
      </c>
      <c r="E233" t="inlineStr">
        <is>
          <t>FALKÖPING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63028-2020</t>
        </is>
      </c>
      <c r="B234" s="1" t="n">
        <v>44162</v>
      </c>
      <c r="C234" s="1" t="n">
        <v>45356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63348-2020</t>
        </is>
      </c>
      <c r="B235" s="1" t="n">
        <v>44165</v>
      </c>
      <c r="C235" s="1" t="n">
        <v>45356</v>
      </c>
      <c r="D235" t="inlineStr">
        <is>
          <t>VÄSTRA GÖTALANDS LÄN</t>
        </is>
      </c>
      <c r="E235" t="inlineStr">
        <is>
          <t>FALKÖPING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64009-2020</t>
        </is>
      </c>
      <c r="B236" s="1" t="n">
        <v>44167</v>
      </c>
      <c r="C236" s="1" t="n">
        <v>45356</v>
      </c>
      <c r="D236" t="inlineStr">
        <is>
          <t>VÄSTRA GÖTALANDS LÄN</t>
        </is>
      </c>
      <c r="E236" t="inlineStr">
        <is>
          <t>FALKÖPING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64002-2020</t>
        </is>
      </c>
      <c r="B237" s="1" t="n">
        <v>44167</v>
      </c>
      <c r="C237" s="1" t="n">
        <v>45356</v>
      </c>
      <c r="D237" t="inlineStr">
        <is>
          <t>VÄSTRA GÖTALANDS LÄN</t>
        </is>
      </c>
      <c r="E237" t="inlineStr">
        <is>
          <t>FALKÖPING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67556-2020</t>
        </is>
      </c>
      <c r="B238" s="1" t="n">
        <v>44181</v>
      </c>
      <c r="C238" s="1" t="n">
        <v>45356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67712-2020</t>
        </is>
      </c>
      <c r="B239" s="1" t="n">
        <v>44182</v>
      </c>
      <c r="C239" s="1" t="n">
        <v>45356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987-2021</t>
        </is>
      </c>
      <c r="B240" s="1" t="n">
        <v>44206</v>
      </c>
      <c r="C240" s="1" t="n">
        <v>45356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1670-2021</t>
        </is>
      </c>
      <c r="B241" s="1" t="n">
        <v>44209</v>
      </c>
      <c r="C241" s="1" t="n">
        <v>45356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2671-2021</t>
        </is>
      </c>
      <c r="B242" s="1" t="n">
        <v>44215</v>
      </c>
      <c r="C242" s="1" t="n">
        <v>45356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2646-2021</t>
        </is>
      </c>
      <c r="B243" s="1" t="n">
        <v>44215</v>
      </c>
      <c r="C243" s="1" t="n">
        <v>45356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2669-2021</t>
        </is>
      </c>
      <c r="B244" s="1" t="n">
        <v>44215</v>
      </c>
      <c r="C244" s="1" t="n">
        <v>45356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3764-2021</t>
        </is>
      </c>
      <c r="B245" s="1" t="n">
        <v>44220</v>
      </c>
      <c r="C245" s="1" t="n">
        <v>45356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3622-2021</t>
        </is>
      </c>
      <c r="B246" s="1" t="n">
        <v>44220</v>
      </c>
      <c r="C246" s="1" t="n">
        <v>45356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5011-2021</t>
        </is>
      </c>
      <c r="B247" s="1" t="n">
        <v>44228</v>
      </c>
      <c r="C247" s="1" t="n">
        <v>45356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5147-2021</t>
        </is>
      </c>
      <c r="B248" s="1" t="n">
        <v>44228</v>
      </c>
      <c r="C248" s="1" t="n">
        <v>45356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5085-2021</t>
        </is>
      </c>
      <c r="B249" s="1" t="n">
        <v>44228</v>
      </c>
      <c r="C249" s="1" t="n">
        <v>45356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5378-2021</t>
        </is>
      </c>
      <c r="B250" s="1" t="n">
        <v>44229</v>
      </c>
      <c r="C250" s="1" t="n">
        <v>45356</v>
      </c>
      <c r="D250" t="inlineStr">
        <is>
          <t>VÄSTRA GÖTALANDS LÄN</t>
        </is>
      </c>
      <c r="E250" t="inlineStr">
        <is>
          <t>FALKÖPING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5698-2021</t>
        </is>
      </c>
      <c r="B251" s="1" t="n">
        <v>44230</v>
      </c>
      <c r="C251" s="1" t="n">
        <v>45356</v>
      </c>
      <c r="D251" t="inlineStr">
        <is>
          <t>VÄSTRA GÖTALANDS LÄN</t>
        </is>
      </c>
      <c r="E251" t="inlineStr">
        <is>
          <t>FALKÖPING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9653-2021</t>
        </is>
      </c>
      <c r="B252" s="1" t="n">
        <v>44252</v>
      </c>
      <c r="C252" s="1" t="n">
        <v>45356</v>
      </c>
      <c r="D252" t="inlineStr">
        <is>
          <t>VÄSTRA GÖTALANDS LÄN</t>
        </is>
      </c>
      <c r="E252" t="inlineStr">
        <is>
          <t>FALKÖPING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10645-2021</t>
        </is>
      </c>
      <c r="B253" s="1" t="n">
        <v>44258</v>
      </c>
      <c r="C253" s="1" t="n">
        <v>45356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11331-2021</t>
        </is>
      </c>
      <c r="B254" s="1" t="n">
        <v>44263</v>
      </c>
      <c r="C254" s="1" t="n">
        <v>45356</v>
      </c>
      <c r="D254" t="inlineStr">
        <is>
          <t>VÄSTRA GÖTALANDS LÄN</t>
        </is>
      </c>
      <c r="E254" t="inlineStr">
        <is>
          <t>FALKÖPING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11887-2021</t>
        </is>
      </c>
      <c r="B255" s="1" t="n">
        <v>44265</v>
      </c>
      <c r="C255" s="1" t="n">
        <v>45356</v>
      </c>
      <c r="D255" t="inlineStr">
        <is>
          <t>VÄSTRA GÖTALANDS LÄN</t>
        </is>
      </c>
      <c r="E255" t="inlineStr">
        <is>
          <t>FALKÖPING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12002-2021</t>
        </is>
      </c>
      <c r="B256" s="1" t="n">
        <v>44266</v>
      </c>
      <c r="C256" s="1" t="n">
        <v>45356</v>
      </c>
      <c r="D256" t="inlineStr">
        <is>
          <t>VÄSTRA GÖTALANDS LÄN</t>
        </is>
      </c>
      <c r="E256" t="inlineStr">
        <is>
          <t>FALKÖPING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12726-2021</t>
        </is>
      </c>
      <c r="B257" s="1" t="n">
        <v>44270</v>
      </c>
      <c r="C257" s="1" t="n">
        <v>45356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14330-2021</t>
        </is>
      </c>
      <c r="B258" s="1" t="n">
        <v>44278</v>
      </c>
      <c r="C258" s="1" t="n">
        <v>45356</v>
      </c>
      <c r="D258" t="inlineStr">
        <is>
          <t>VÄSTRA GÖTALANDS LÄN</t>
        </is>
      </c>
      <c r="E258" t="inlineStr">
        <is>
          <t>FALKÖPING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16359-2021</t>
        </is>
      </c>
      <c r="B259" s="1" t="n">
        <v>44293</v>
      </c>
      <c r="C259" s="1" t="n">
        <v>45356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17459-2021</t>
        </is>
      </c>
      <c r="B260" s="1" t="n">
        <v>44299</v>
      </c>
      <c r="C260" s="1" t="n">
        <v>45356</v>
      </c>
      <c r="D260" t="inlineStr">
        <is>
          <t>VÄSTRA GÖTALANDS LÄN</t>
        </is>
      </c>
      <c r="E260" t="inlineStr">
        <is>
          <t>FALKÖPING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17771-2021</t>
        </is>
      </c>
      <c r="B261" s="1" t="n">
        <v>44300</v>
      </c>
      <c r="C261" s="1" t="n">
        <v>45356</v>
      </c>
      <c r="D261" t="inlineStr">
        <is>
          <t>VÄSTRA GÖTALANDS LÄN</t>
        </is>
      </c>
      <c r="E261" t="inlineStr">
        <is>
          <t>FALKÖPING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18424-2021</t>
        </is>
      </c>
      <c r="B262" s="1" t="n">
        <v>44305</v>
      </c>
      <c r="C262" s="1" t="n">
        <v>45356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19574-2021</t>
        </is>
      </c>
      <c r="B263" s="1" t="n">
        <v>44312</v>
      </c>
      <c r="C263" s="1" t="n">
        <v>45356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21774-2021</t>
        </is>
      </c>
      <c r="B264" s="1" t="n">
        <v>44322</v>
      </c>
      <c r="C264" s="1" t="n">
        <v>45356</v>
      </c>
      <c r="D264" t="inlineStr">
        <is>
          <t>VÄSTRA GÖTALANDS LÄN</t>
        </is>
      </c>
      <c r="E264" t="inlineStr">
        <is>
          <t>FALKÖPING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22843-2021</t>
        </is>
      </c>
      <c r="B265" s="1" t="n">
        <v>44328</v>
      </c>
      <c r="C265" s="1" t="n">
        <v>45356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22848-2021</t>
        </is>
      </c>
      <c r="B266" s="1" t="n">
        <v>44328</v>
      </c>
      <c r="C266" s="1" t="n">
        <v>45356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23230-2021</t>
        </is>
      </c>
      <c r="B267" s="1" t="n">
        <v>44332</v>
      </c>
      <c r="C267" s="1" t="n">
        <v>45356</v>
      </c>
      <c r="D267" t="inlineStr">
        <is>
          <t>VÄSTRA GÖTALANDS LÄN</t>
        </is>
      </c>
      <c r="E267" t="inlineStr">
        <is>
          <t>FALKÖPING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23731-2021</t>
        </is>
      </c>
      <c r="B268" s="1" t="n">
        <v>44334</v>
      </c>
      <c r="C268" s="1" t="n">
        <v>45356</v>
      </c>
      <c r="D268" t="inlineStr">
        <is>
          <t>VÄSTRA GÖTALANDS LÄN</t>
        </is>
      </c>
      <c r="E268" t="inlineStr">
        <is>
          <t>FALKÖPING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26625-2021</t>
        </is>
      </c>
      <c r="B269" s="1" t="n">
        <v>44348</v>
      </c>
      <c r="C269" s="1" t="n">
        <v>45356</v>
      </c>
      <c r="D269" t="inlineStr">
        <is>
          <t>VÄSTRA GÖTALANDS LÄN</t>
        </is>
      </c>
      <c r="E269" t="inlineStr">
        <is>
          <t>FALKÖPING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27105-2021</t>
        </is>
      </c>
      <c r="B270" s="1" t="n">
        <v>44350</v>
      </c>
      <c r="C270" s="1" t="n">
        <v>45356</v>
      </c>
      <c r="D270" t="inlineStr">
        <is>
          <t>VÄSTRA GÖTALANDS LÄN</t>
        </is>
      </c>
      <c r="E270" t="inlineStr">
        <is>
          <t>FALKÖPING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27009-2021</t>
        </is>
      </c>
      <c r="B271" s="1" t="n">
        <v>44350</v>
      </c>
      <c r="C271" s="1" t="n">
        <v>45356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27515-2021</t>
        </is>
      </c>
      <c r="B272" s="1" t="n">
        <v>44351</v>
      </c>
      <c r="C272" s="1" t="n">
        <v>45356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29229-2021</t>
        </is>
      </c>
      <c r="B273" s="1" t="n">
        <v>44360</v>
      </c>
      <c r="C273" s="1" t="n">
        <v>45356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29261-2021</t>
        </is>
      </c>
      <c r="B274" s="1" t="n">
        <v>44361</v>
      </c>
      <c r="C274" s="1" t="n">
        <v>45356</v>
      </c>
      <c r="D274" t="inlineStr">
        <is>
          <t>VÄSTRA GÖTALANDS LÄN</t>
        </is>
      </c>
      <c r="E274" t="inlineStr">
        <is>
          <t>FALKÖPING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29869-2021</t>
        </is>
      </c>
      <c r="B275" s="1" t="n">
        <v>44362</v>
      </c>
      <c r="C275" s="1" t="n">
        <v>45356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31230-2021</t>
        </is>
      </c>
      <c r="B276" s="1" t="n">
        <v>44368</v>
      </c>
      <c r="C276" s="1" t="n">
        <v>45356</v>
      </c>
      <c r="D276" t="inlineStr">
        <is>
          <t>VÄSTRA GÖTALANDS LÄN</t>
        </is>
      </c>
      <c r="E276" t="inlineStr">
        <is>
          <t>FALKÖPING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31245-2021</t>
        </is>
      </c>
      <c r="B277" s="1" t="n">
        <v>44368</v>
      </c>
      <c r="C277" s="1" t="n">
        <v>45356</v>
      </c>
      <c r="D277" t="inlineStr">
        <is>
          <t>VÄSTRA GÖTALANDS LÄN</t>
        </is>
      </c>
      <c r="E277" t="inlineStr">
        <is>
          <t>FALKÖPING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33924-2021</t>
        </is>
      </c>
      <c r="B278" s="1" t="n">
        <v>44378</v>
      </c>
      <c r="C278" s="1" t="n">
        <v>45356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39682-2021</t>
        </is>
      </c>
      <c r="B279" s="1" t="n">
        <v>44417</v>
      </c>
      <c r="C279" s="1" t="n">
        <v>45356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40065-2021</t>
        </is>
      </c>
      <c r="B280" s="1" t="n">
        <v>44418</v>
      </c>
      <c r="C280" s="1" t="n">
        <v>45356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40173-2021</t>
        </is>
      </c>
      <c r="B281" s="1" t="n">
        <v>44418</v>
      </c>
      <c r="C281" s="1" t="n">
        <v>45356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40714-2021</t>
        </is>
      </c>
      <c r="B282" s="1" t="n">
        <v>44420</v>
      </c>
      <c r="C282" s="1" t="n">
        <v>45356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42900-2021</t>
        </is>
      </c>
      <c r="B283" s="1" t="n">
        <v>44428</v>
      </c>
      <c r="C283" s="1" t="n">
        <v>45356</v>
      </c>
      <c r="D283" t="inlineStr">
        <is>
          <t>VÄSTRA GÖTALANDS LÄN</t>
        </is>
      </c>
      <c r="E283" t="inlineStr">
        <is>
          <t>FALKÖPING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42886-2021</t>
        </is>
      </c>
      <c r="B284" s="1" t="n">
        <v>44428</v>
      </c>
      <c r="C284" s="1" t="n">
        <v>45356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42923-2021</t>
        </is>
      </c>
      <c r="B285" s="1" t="n">
        <v>44429</v>
      </c>
      <c r="C285" s="1" t="n">
        <v>45356</v>
      </c>
      <c r="D285" t="inlineStr">
        <is>
          <t>VÄSTRA GÖTALANDS LÄN</t>
        </is>
      </c>
      <c r="E285" t="inlineStr">
        <is>
          <t>FALKÖPING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42919-2021</t>
        </is>
      </c>
      <c r="B286" s="1" t="n">
        <v>44429</v>
      </c>
      <c r="C286" s="1" t="n">
        <v>45356</v>
      </c>
      <c r="D286" t="inlineStr">
        <is>
          <t>VÄSTRA GÖTALANDS LÄN</t>
        </is>
      </c>
      <c r="E286" t="inlineStr">
        <is>
          <t>FALKÖPING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43732-2021</t>
        </is>
      </c>
      <c r="B287" s="1" t="n">
        <v>44433</v>
      </c>
      <c r="C287" s="1" t="n">
        <v>45356</v>
      </c>
      <c r="D287" t="inlineStr">
        <is>
          <t>VÄSTRA GÖTALANDS LÄN</t>
        </is>
      </c>
      <c r="E287" t="inlineStr">
        <is>
          <t>FALKÖPING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43733-2021</t>
        </is>
      </c>
      <c r="B288" s="1" t="n">
        <v>44433</v>
      </c>
      <c r="C288" s="1" t="n">
        <v>45356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43728-2021</t>
        </is>
      </c>
      <c r="B289" s="1" t="n">
        <v>44433</v>
      </c>
      <c r="C289" s="1" t="n">
        <v>45356</v>
      </c>
      <c r="D289" t="inlineStr">
        <is>
          <t>VÄSTRA GÖTALANDS LÄN</t>
        </is>
      </c>
      <c r="E289" t="inlineStr">
        <is>
          <t>FALKÖPING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43997-2021</t>
        </is>
      </c>
      <c r="B290" s="1" t="n">
        <v>44434</v>
      </c>
      <c r="C290" s="1" t="n">
        <v>45356</v>
      </c>
      <c r="D290" t="inlineStr">
        <is>
          <t>VÄSTRA GÖTALANDS LÄN</t>
        </is>
      </c>
      <c r="E290" t="inlineStr">
        <is>
          <t>FALKÖPING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45908-2021</t>
        </is>
      </c>
      <c r="B291" s="1" t="n">
        <v>44441</v>
      </c>
      <c r="C291" s="1" t="n">
        <v>45356</v>
      </c>
      <c r="D291" t="inlineStr">
        <is>
          <t>VÄSTRA GÖTALANDS LÄN</t>
        </is>
      </c>
      <c r="E291" t="inlineStr">
        <is>
          <t>FALKÖPING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47326-2021</t>
        </is>
      </c>
      <c r="B292" s="1" t="n">
        <v>44447</v>
      </c>
      <c r="C292" s="1" t="n">
        <v>45356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49429-2021</t>
        </is>
      </c>
      <c r="B293" s="1" t="n">
        <v>44454</v>
      </c>
      <c r="C293" s="1" t="n">
        <v>45356</v>
      </c>
      <c r="D293" t="inlineStr">
        <is>
          <t>VÄSTRA GÖTALANDS LÄN</t>
        </is>
      </c>
      <c r="E293" t="inlineStr">
        <is>
          <t>FALKÖPING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49416-2021</t>
        </is>
      </c>
      <c r="B294" s="1" t="n">
        <v>44454</v>
      </c>
      <c r="C294" s="1" t="n">
        <v>45356</v>
      </c>
      <c r="D294" t="inlineStr">
        <is>
          <t>VÄSTRA GÖTALANDS LÄN</t>
        </is>
      </c>
      <c r="E294" t="inlineStr">
        <is>
          <t>FALKÖPING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51416-2021</t>
        </is>
      </c>
      <c r="B295" s="1" t="n">
        <v>44461</v>
      </c>
      <c r="C295" s="1" t="n">
        <v>45356</v>
      </c>
      <c r="D295" t="inlineStr">
        <is>
          <t>VÄSTRA GÖTALANDS LÄN</t>
        </is>
      </c>
      <c r="E295" t="inlineStr">
        <is>
          <t>FALKÖPING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52525-2021</t>
        </is>
      </c>
      <c r="B296" s="1" t="n">
        <v>44466</v>
      </c>
      <c r="C296" s="1" t="n">
        <v>45356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53447-2021</t>
        </is>
      </c>
      <c r="B297" s="1" t="n">
        <v>44468</v>
      </c>
      <c r="C297" s="1" t="n">
        <v>45356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53548-2021</t>
        </is>
      </c>
      <c r="B298" s="1" t="n">
        <v>44469</v>
      </c>
      <c r="C298" s="1" t="n">
        <v>45356</v>
      </c>
      <c r="D298" t="inlineStr">
        <is>
          <t>VÄSTRA GÖTALANDS LÄN</t>
        </is>
      </c>
      <c r="E298" t="inlineStr">
        <is>
          <t>FALKÖPING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53973-2021</t>
        </is>
      </c>
      <c r="B299" s="1" t="n">
        <v>44470</v>
      </c>
      <c r="C299" s="1" t="n">
        <v>45356</v>
      </c>
      <c r="D299" t="inlineStr">
        <is>
          <t>VÄSTRA GÖTALANDS LÄN</t>
        </is>
      </c>
      <c r="E299" t="inlineStr">
        <is>
          <t>FALKÖPING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53975-2021</t>
        </is>
      </c>
      <c r="B300" s="1" t="n">
        <v>44470</v>
      </c>
      <c r="C300" s="1" t="n">
        <v>45356</v>
      </c>
      <c r="D300" t="inlineStr">
        <is>
          <t>VÄSTRA GÖTALANDS LÄN</t>
        </is>
      </c>
      <c r="E300" t="inlineStr">
        <is>
          <t>FALKÖPING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55071-2021</t>
        </is>
      </c>
      <c r="B301" s="1" t="n">
        <v>44474</v>
      </c>
      <c r="C301" s="1" t="n">
        <v>45356</v>
      </c>
      <c r="D301" t="inlineStr">
        <is>
          <t>VÄSTRA GÖTALANDS LÄN</t>
        </is>
      </c>
      <c r="E301" t="inlineStr">
        <is>
          <t>FALKÖPING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55513-2021</t>
        </is>
      </c>
      <c r="B302" s="1" t="n">
        <v>44475</v>
      </c>
      <c r="C302" s="1" t="n">
        <v>45356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58717-2021</t>
        </is>
      </c>
      <c r="B303" s="1" t="n">
        <v>44489</v>
      </c>
      <c r="C303" s="1" t="n">
        <v>45356</v>
      </c>
      <c r="D303" t="inlineStr">
        <is>
          <t>VÄSTRA GÖTALANDS LÄN</t>
        </is>
      </c>
      <c r="E303" t="inlineStr">
        <is>
          <t>FALKÖPING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58923-2021</t>
        </is>
      </c>
      <c r="B304" s="1" t="n">
        <v>44489</v>
      </c>
      <c r="C304" s="1" t="n">
        <v>45356</v>
      </c>
      <c r="D304" t="inlineStr">
        <is>
          <t>VÄSTRA GÖTALANDS LÄN</t>
        </is>
      </c>
      <c r="E304" t="inlineStr">
        <is>
          <t>FALKÖPING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59113-2021</t>
        </is>
      </c>
      <c r="B305" s="1" t="n">
        <v>44490</v>
      </c>
      <c r="C305" s="1" t="n">
        <v>45356</v>
      </c>
      <c r="D305" t="inlineStr">
        <is>
          <t>VÄSTRA GÖTALANDS LÄN</t>
        </is>
      </c>
      <c r="E305" t="inlineStr">
        <is>
          <t>FALKÖPING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60660-2021</t>
        </is>
      </c>
      <c r="B306" s="1" t="n">
        <v>44496</v>
      </c>
      <c r="C306" s="1" t="n">
        <v>45356</v>
      </c>
      <c r="D306" t="inlineStr">
        <is>
          <t>VÄSTRA GÖTALANDS LÄN</t>
        </is>
      </c>
      <c r="E306" t="inlineStr">
        <is>
          <t>FALKÖPING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60914-2021</t>
        </is>
      </c>
      <c r="B307" s="1" t="n">
        <v>44497</v>
      </c>
      <c r="C307" s="1" t="n">
        <v>45356</v>
      </c>
      <c r="D307" t="inlineStr">
        <is>
          <t>VÄSTRA GÖTALANDS LÄN</t>
        </is>
      </c>
      <c r="E307" t="inlineStr">
        <is>
          <t>FALKÖPING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61053-2021</t>
        </is>
      </c>
      <c r="B308" s="1" t="n">
        <v>44497</v>
      </c>
      <c r="C308" s="1" t="n">
        <v>45356</v>
      </c>
      <c r="D308" t="inlineStr">
        <is>
          <t>VÄSTRA GÖTALANDS LÄN</t>
        </is>
      </c>
      <c r="E308" t="inlineStr">
        <is>
          <t>FALKÖPING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62365-2021</t>
        </is>
      </c>
      <c r="B309" s="1" t="n">
        <v>44503</v>
      </c>
      <c r="C309" s="1" t="n">
        <v>45356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62372-2021</t>
        </is>
      </c>
      <c r="B310" s="1" t="n">
        <v>44503</v>
      </c>
      <c r="C310" s="1" t="n">
        <v>45356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62409-2021</t>
        </is>
      </c>
      <c r="B311" s="1" t="n">
        <v>44503</v>
      </c>
      <c r="C311" s="1" t="n">
        <v>45356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64773-2021</t>
        </is>
      </c>
      <c r="B312" s="1" t="n">
        <v>44512</v>
      </c>
      <c r="C312" s="1" t="n">
        <v>45356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68664-2021</t>
        </is>
      </c>
      <c r="B313" s="1" t="n">
        <v>44529</v>
      </c>
      <c r="C313" s="1" t="n">
        <v>45356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68658-2021</t>
        </is>
      </c>
      <c r="B314" s="1" t="n">
        <v>44529</v>
      </c>
      <c r="C314" s="1" t="n">
        <v>45356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68660-2021</t>
        </is>
      </c>
      <c r="B315" s="1" t="n">
        <v>44529</v>
      </c>
      <c r="C315" s="1" t="n">
        <v>45356</v>
      </c>
      <c r="D315" t="inlineStr">
        <is>
          <t>VÄSTRA GÖTALANDS LÄN</t>
        </is>
      </c>
      <c r="E315" t="inlineStr">
        <is>
          <t>FALKÖPING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68698-2021</t>
        </is>
      </c>
      <c r="B316" s="1" t="n">
        <v>44529</v>
      </c>
      <c r="C316" s="1" t="n">
        <v>45356</v>
      </c>
      <c r="D316" t="inlineStr">
        <is>
          <t>VÄSTRA GÖTALANDS LÄN</t>
        </is>
      </c>
      <c r="E316" t="inlineStr">
        <is>
          <t>FALKÖPING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68656-2021</t>
        </is>
      </c>
      <c r="B317" s="1" t="n">
        <v>44529</v>
      </c>
      <c r="C317" s="1" t="n">
        <v>45356</v>
      </c>
      <c r="D317" t="inlineStr">
        <is>
          <t>VÄSTRA GÖTALANDS LÄN</t>
        </is>
      </c>
      <c r="E317" t="inlineStr">
        <is>
          <t>FALKÖPING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68699-2021</t>
        </is>
      </c>
      <c r="B318" s="1" t="n">
        <v>44529</v>
      </c>
      <c r="C318" s="1" t="n">
        <v>45356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68875-2021</t>
        </is>
      </c>
      <c r="B319" s="1" t="n">
        <v>44530</v>
      </c>
      <c r="C319" s="1" t="n">
        <v>45356</v>
      </c>
      <c r="D319" t="inlineStr">
        <is>
          <t>VÄSTRA GÖTALANDS LÄN</t>
        </is>
      </c>
      <c r="E319" t="inlineStr">
        <is>
          <t>FALKÖPING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72275-2021</t>
        </is>
      </c>
      <c r="B320" s="1" t="n">
        <v>44543</v>
      </c>
      <c r="C320" s="1" t="n">
        <v>45356</v>
      </c>
      <c r="D320" t="inlineStr">
        <is>
          <t>VÄSTRA GÖTALANDS LÄN</t>
        </is>
      </c>
      <c r="E320" t="inlineStr">
        <is>
          <t>FALKÖPING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72294-2021</t>
        </is>
      </c>
      <c r="B321" s="1" t="n">
        <v>44545</v>
      </c>
      <c r="C321" s="1" t="n">
        <v>45356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72297-2021</t>
        </is>
      </c>
      <c r="B322" s="1" t="n">
        <v>44545</v>
      </c>
      <c r="C322" s="1" t="n">
        <v>45356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74304-2021</t>
        </is>
      </c>
      <c r="B323" s="1" t="n">
        <v>44559</v>
      </c>
      <c r="C323" s="1" t="n">
        <v>45356</v>
      </c>
      <c r="D323" t="inlineStr">
        <is>
          <t>VÄSTRA GÖTALANDS LÄN</t>
        </is>
      </c>
      <c r="E323" t="inlineStr">
        <is>
          <t>FALKÖPING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1248-2022</t>
        </is>
      </c>
      <c r="B324" s="1" t="n">
        <v>44572</v>
      </c>
      <c r="C324" s="1" t="n">
        <v>45356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1456-2022</t>
        </is>
      </c>
      <c r="B325" s="1" t="n">
        <v>44573</v>
      </c>
      <c r="C325" s="1" t="n">
        <v>45356</v>
      </c>
      <c r="D325" t="inlineStr">
        <is>
          <t>VÄSTRA GÖTALANDS LÄN</t>
        </is>
      </c>
      <c r="E325" t="inlineStr">
        <is>
          <t>FALKÖPING</t>
        </is>
      </c>
      <c r="F325" t="inlineStr">
        <is>
          <t>Naturvårdsverket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2294-2022</t>
        </is>
      </c>
      <c r="B326" s="1" t="n">
        <v>44578</v>
      </c>
      <c r="C326" s="1" t="n">
        <v>45356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2656-2022</t>
        </is>
      </c>
      <c r="B327" s="1" t="n">
        <v>44580</v>
      </c>
      <c r="C327" s="1" t="n">
        <v>45356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2657-2022</t>
        </is>
      </c>
      <c r="B328" s="1" t="n">
        <v>44580</v>
      </c>
      <c r="C328" s="1" t="n">
        <v>45356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4765-2022</t>
        </is>
      </c>
      <c r="B329" s="1" t="n">
        <v>44592</v>
      </c>
      <c r="C329" s="1" t="n">
        <v>45356</v>
      </c>
      <c r="D329" t="inlineStr">
        <is>
          <t>VÄSTRA GÖTALANDS LÄN</t>
        </is>
      </c>
      <c r="E329" t="inlineStr">
        <is>
          <t>FALKÖPING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5265-2022</t>
        </is>
      </c>
      <c r="B330" s="1" t="n">
        <v>44594</v>
      </c>
      <c r="C330" s="1" t="n">
        <v>45356</v>
      </c>
      <c r="D330" t="inlineStr">
        <is>
          <t>VÄSTRA GÖTALANDS LÄN</t>
        </is>
      </c>
      <c r="E330" t="inlineStr">
        <is>
          <t>FALKÖPING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5264-2022</t>
        </is>
      </c>
      <c r="B331" s="1" t="n">
        <v>44594</v>
      </c>
      <c r="C331" s="1" t="n">
        <v>45356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5713-2022</t>
        </is>
      </c>
      <c r="B332" s="1" t="n">
        <v>44596</v>
      </c>
      <c r="C332" s="1" t="n">
        <v>45356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6508-2022</t>
        </is>
      </c>
      <c r="B333" s="1" t="n">
        <v>44601</v>
      </c>
      <c r="C333" s="1" t="n">
        <v>45356</v>
      </c>
      <c r="D333" t="inlineStr">
        <is>
          <t>VÄSTRA GÖTALANDS LÄN</t>
        </is>
      </c>
      <c r="E333" t="inlineStr">
        <is>
          <t>FALKÖPING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6783-2022</t>
        </is>
      </c>
      <c r="B334" s="1" t="n">
        <v>44602</v>
      </c>
      <c r="C334" s="1" t="n">
        <v>45356</v>
      </c>
      <c r="D334" t="inlineStr">
        <is>
          <t>VÄSTRA GÖTALANDS LÄN</t>
        </is>
      </c>
      <c r="E334" t="inlineStr">
        <is>
          <t>FALKÖPING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6962-2022</t>
        </is>
      </c>
      <c r="B335" s="1" t="n">
        <v>44603</v>
      </c>
      <c r="C335" s="1" t="n">
        <v>45356</v>
      </c>
      <c r="D335" t="inlineStr">
        <is>
          <t>VÄSTRA GÖTALANDS LÄN</t>
        </is>
      </c>
      <c r="E335" t="inlineStr">
        <is>
          <t>FALKÖPING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9249-2022</t>
        </is>
      </c>
      <c r="B336" s="1" t="n">
        <v>44616</v>
      </c>
      <c r="C336" s="1" t="n">
        <v>45356</v>
      </c>
      <c r="D336" t="inlineStr">
        <is>
          <t>VÄSTRA GÖTALANDS LÄN</t>
        </is>
      </c>
      <c r="E336" t="inlineStr">
        <is>
          <t>FALKÖPING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9679-2022</t>
        </is>
      </c>
      <c r="B337" s="1" t="n">
        <v>44617</v>
      </c>
      <c r="C337" s="1" t="n">
        <v>45356</v>
      </c>
      <c r="D337" t="inlineStr">
        <is>
          <t>VÄSTRA GÖTALANDS LÄN</t>
        </is>
      </c>
      <c r="E337" t="inlineStr">
        <is>
          <t>FALKÖPING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10171-2022</t>
        </is>
      </c>
      <c r="B338" s="1" t="n">
        <v>44622</v>
      </c>
      <c r="C338" s="1" t="n">
        <v>45356</v>
      </c>
      <c r="D338" t="inlineStr">
        <is>
          <t>VÄSTRA GÖTALANDS LÄN</t>
        </is>
      </c>
      <c r="E338" t="inlineStr">
        <is>
          <t>FALKÖPING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10415-2022</t>
        </is>
      </c>
      <c r="B339" s="1" t="n">
        <v>44623</v>
      </c>
      <c r="C339" s="1" t="n">
        <v>45356</v>
      </c>
      <c r="D339" t="inlineStr">
        <is>
          <t>VÄSTRA GÖTALANDS LÄN</t>
        </is>
      </c>
      <c r="E339" t="inlineStr">
        <is>
          <t>FALKÖPING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10429-2022</t>
        </is>
      </c>
      <c r="B340" s="1" t="n">
        <v>44623</v>
      </c>
      <c r="C340" s="1" t="n">
        <v>45356</v>
      </c>
      <c r="D340" t="inlineStr">
        <is>
          <t>VÄSTRA GÖTALANDS LÄN</t>
        </is>
      </c>
      <c r="E340" t="inlineStr">
        <is>
          <t>FALKÖPING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10772-2022</t>
        </is>
      </c>
      <c r="B341" s="1" t="n">
        <v>44627</v>
      </c>
      <c r="C341" s="1" t="n">
        <v>45356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10830-2022</t>
        </is>
      </c>
      <c r="B342" s="1" t="n">
        <v>44627</v>
      </c>
      <c r="C342" s="1" t="n">
        <v>45356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11280-2022</t>
        </is>
      </c>
      <c r="B343" s="1" t="n">
        <v>44629</v>
      </c>
      <c r="C343" s="1" t="n">
        <v>45356</v>
      </c>
      <c r="D343" t="inlineStr">
        <is>
          <t>VÄSTRA GÖTALANDS LÄN</t>
        </is>
      </c>
      <c r="E343" t="inlineStr">
        <is>
          <t>FALKÖPING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11436-2022</t>
        </is>
      </c>
      <c r="B344" s="1" t="n">
        <v>44630</v>
      </c>
      <c r="C344" s="1" t="n">
        <v>45356</v>
      </c>
      <c r="D344" t="inlineStr">
        <is>
          <t>VÄSTRA GÖTALANDS LÄN</t>
        </is>
      </c>
      <c r="E344" t="inlineStr">
        <is>
          <t>FALKÖPING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11440-2022</t>
        </is>
      </c>
      <c r="B345" s="1" t="n">
        <v>44630</v>
      </c>
      <c r="C345" s="1" t="n">
        <v>45356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12124-2022</t>
        </is>
      </c>
      <c r="B346" s="1" t="n">
        <v>44636</v>
      </c>
      <c r="C346" s="1" t="n">
        <v>45356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12103-2022</t>
        </is>
      </c>
      <c r="B347" s="1" t="n">
        <v>44636</v>
      </c>
      <c r="C347" s="1" t="n">
        <v>45356</v>
      </c>
      <c r="D347" t="inlineStr">
        <is>
          <t>VÄSTRA GÖTALANDS LÄN</t>
        </is>
      </c>
      <c r="E347" t="inlineStr">
        <is>
          <t>FALKÖPING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12276-2022</t>
        </is>
      </c>
      <c r="B348" s="1" t="n">
        <v>44637</v>
      </c>
      <c r="C348" s="1" t="n">
        <v>45356</v>
      </c>
      <c r="D348" t="inlineStr">
        <is>
          <t>VÄSTRA GÖTALANDS LÄN</t>
        </is>
      </c>
      <c r="E348" t="inlineStr">
        <is>
          <t>FALKÖPING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12508-2022</t>
        </is>
      </c>
      <c r="B349" s="1" t="n">
        <v>44638</v>
      </c>
      <c r="C349" s="1" t="n">
        <v>45356</v>
      </c>
      <c r="D349" t="inlineStr">
        <is>
          <t>VÄSTRA GÖTALANDS LÄN</t>
        </is>
      </c>
      <c r="E349" t="inlineStr">
        <is>
          <t>FALKÖPING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13450-2022</t>
        </is>
      </c>
      <c r="B350" s="1" t="n">
        <v>44645</v>
      </c>
      <c r="C350" s="1" t="n">
        <v>45356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15793-2022</t>
        </is>
      </c>
      <c r="B351" s="1" t="n">
        <v>44663</v>
      </c>
      <c r="C351" s="1" t="n">
        <v>45356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16661-2022</t>
        </is>
      </c>
      <c r="B352" s="1" t="n">
        <v>44672</v>
      </c>
      <c r="C352" s="1" t="n">
        <v>45356</v>
      </c>
      <c r="D352" t="inlineStr">
        <is>
          <t>VÄSTRA GÖTALANDS LÄN</t>
        </is>
      </c>
      <c r="E352" t="inlineStr">
        <is>
          <t>FALKÖPING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16662-2022</t>
        </is>
      </c>
      <c r="B353" s="1" t="n">
        <v>44672</v>
      </c>
      <c r="C353" s="1" t="n">
        <v>45356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18927-2022</t>
        </is>
      </c>
      <c r="B354" s="1" t="n">
        <v>44690</v>
      </c>
      <c r="C354" s="1" t="n">
        <v>45356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19250-2022</t>
        </is>
      </c>
      <c r="B355" s="1" t="n">
        <v>44692</v>
      </c>
      <c r="C355" s="1" t="n">
        <v>45356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20346-2022</t>
        </is>
      </c>
      <c r="B356" s="1" t="n">
        <v>44699</v>
      </c>
      <c r="C356" s="1" t="n">
        <v>45356</v>
      </c>
      <c r="D356" t="inlineStr">
        <is>
          <t>VÄSTRA GÖTALANDS LÄN</t>
        </is>
      </c>
      <c r="E356" t="inlineStr">
        <is>
          <t>FALKÖPING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21161-2022</t>
        </is>
      </c>
      <c r="B357" s="1" t="n">
        <v>44704</v>
      </c>
      <c r="C357" s="1" t="n">
        <v>45356</v>
      </c>
      <c r="D357" t="inlineStr">
        <is>
          <t>VÄSTRA GÖTALANDS LÄN</t>
        </is>
      </c>
      <c r="E357" t="inlineStr">
        <is>
          <t>FALKÖPING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21730-2022</t>
        </is>
      </c>
      <c r="B358" s="1" t="n">
        <v>44707</v>
      </c>
      <c r="C358" s="1" t="n">
        <v>45356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22023-2022</t>
        </is>
      </c>
      <c r="B359" s="1" t="n">
        <v>44711</v>
      </c>
      <c r="C359" s="1" t="n">
        <v>45356</v>
      </c>
      <c r="D359" t="inlineStr">
        <is>
          <t>VÄSTRA GÖTALANDS LÄN</t>
        </is>
      </c>
      <c r="E359" t="inlineStr">
        <is>
          <t>FALKÖPING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22479-2022</t>
        </is>
      </c>
      <c r="B360" s="1" t="n">
        <v>44713</v>
      </c>
      <c r="C360" s="1" t="n">
        <v>45356</v>
      </c>
      <c r="D360" t="inlineStr">
        <is>
          <t>VÄSTRA GÖTALANDS LÄN</t>
        </is>
      </c>
      <c r="E360" t="inlineStr">
        <is>
          <t>FALKÖPING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23846-2022</t>
        </is>
      </c>
      <c r="B361" s="1" t="n">
        <v>44722</v>
      </c>
      <c r="C361" s="1" t="n">
        <v>45356</v>
      </c>
      <c r="D361" t="inlineStr">
        <is>
          <t>VÄSTRA GÖTALANDS LÄN</t>
        </is>
      </c>
      <c r="E361" t="inlineStr">
        <is>
          <t>FALKÖPING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24349-2022</t>
        </is>
      </c>
      <c r="B362" s="1" t="n">
        <v>44726</v>
      </c>
      <c r="C362" s="1" t="n">
        <v>45356</v>
      </c>
      <c r="D362" t="inlineStr">
        <is>
          <t>VÄSTRA GÖTALANDS LÄN</t>
        </is>
      </c>
      <c r="E362" t="inlineStr">
        <is>
          <t>FALKÖPING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24503-2022</t>
        </is>
      </c>
      <c r="B363" s="1" t="n">
        <v>44726</v>
      </c>
      <c r="C363" s="1" t="n">
        <v>45356</v>
      </c>
      <c r="D363" t="inlineStr">
        <is>
          <t>VÄSTRA GÖTALANDS LÄN</t>
        </is>
      </c>
      <c r="E363" t="inlineStr">
        <is>
          <t>FALKÖPING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24749-2022</t>
        </is>
      </c>
      <c r="B364" s="1" t="n">
        <v>44728</v>
      </c>
      <c r="C364" s="1" t="n">
        <v>45356</v>
      </c>
      <c r="D364" t="inlineStr">
        <is>
          <t>VÄSTRA GÖTALANDS LÄN</t>
        </is>
      </c>
      <c r="E364" t="inlineStr">
        <is>
          <t>FALKÖPING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25043-2022</t>
        </is>
      </c>
      <c r="B365" s="1" t="n">
        <v>44729</v>
      </c>
      <c r="C365" s="1" t="n">
        <v>45356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26549-2022</t>
        </is>
      </c>
      <c r="B366" s="1" t="n">
        <v>44739</v>
      </c>
      <c r="C366" s="1" t="n">
        <v>45356</v>
      </c>
      <c r="D366" t="inlineStr">
        <is>
          <t>VÄSTRA GÖTALANDS LÄN</t>
        </is>
      </c>
      <c r="E366" t="inlineStr">
        <is>
          <t>FALKÖPING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26544-2022</t>
        </is>
      </c>
      <c r="B367" s="1" t="n">
        <v>44739</v>
      </c>
      <c r="C367" s="1" t="n">
        <v>45356</v>
      </c>
      <c r="D367" t="inlineStr">
        <is>
          <t>VÄSTRA GÖTALANDS LÄN</t>
        </is>
      </c>
      <c r="E367" t="inlineStr">
        <is>
          <t>FALKÖPING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27566-2022</t>
        </is>
      </c>
      <c r="B368" s="1" t="n">
        <v>44742</v>
      </c>
      <c r="C368" s="1" t="n">
        <v>45356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27564-2022</t>
        </is>
      </c>
      <c r="B369" s="1" t="n">
        <v>44742</v>
      </c>
      <c r="C369" s="1" t="n">
        <v>45356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28310-2022</t>
        </is>
      </c>
      <c r="B370" s="1" t="n">
        <v>44747</v>
      </c>
      <c r="C370" s="1" t="n">
        <v>45356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28473-2022</t>
        </is>
      </c>
      <c r="B371" s="1" t="n">
        <v>44747</v>
      </c>
      <c r="C371" s="1" t="n">
        <v>45356</v>
      </c>
      <c r="D371" t="inlineStr">
        <is>
          <t>VÄSTRA GÖTALANDS LÄN</t>
        </is>
      </c>
      <c r="E371" t="inlineStr">
        <is>
          <t>FALKÖPING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32542-2022</t>
        </is>
      </c>
      <c r="B372" s="1" t="n">
        <v>44783</v>
      </c>
      <c r="C372" s="1" t="n">
        <v>45356</v>
      </c>
      <c r="D372" t="inlineStr">
        <is>
          <t>VÄSTRA GÖTALANDS LÄN</t>
        </is>
      </c>
      <c r="E372" t="inlineStr">
        <is>
          <t>FALKÖPING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35939-2022</t>
        </is>
      </c>
      <c r="B373" s="1" t="n">
        <v>44802</v>
      </c>
      <c r="C373" s="1" t="n">
        <v>45356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35934-2022</t>
        </is>
      </c>
      <c r="B374" s="1" t="n">
        <v>44802</v>
      </c>
      <c r="C374" s="1" t="n">
        <v>45356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36352-2022</t>
        </is>
      </c>
      <c r="B375" s="1" t="n">
        <v>44803</v>
      </c>
      <c r="C375" s="1" t="n">
        <v>45356</v>
      </c>
      <c r="D375" t="inlineStr">
        <is>
          <t>VÄSTRA GÖTALANDS LÄN</t>
        </is>
      </c>
      <c r="E375" t="inlineStr">
        <is>
          <t>FALKÖPING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36911-2022</t>
        </is>
      </c>
      <c r="B376" s="1" t="n">
        <v>44805</v>
      </c>
      <c r="C376" s="1" t="n">
        <v>45356</v>
      </c>
      <c r="D376" t="inlineStr">
        <is>
          <t>VÄSTRA GÖTALANDS LÄN</t>
        </is>
      </c>
      <c r="E376" t="inlineStr">
        <is>
          <t>FALKÖPING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37958-2022</t>
        </is>
      </c>
      <c r="B377" s="1" t="n">
        <v>44811</v>
      </c>
      <c r="C377" s="1" t="n">
        <v>45356</v>
      </c>
      <c r="D377" t="inlineStr">
        <is>
          <t>VÄSTRA GÖTALANDS LÄN</t>
        </is>
      </c>
      <c r="E377" t="inlineStr">
        <is>
          <t>FALKÖPING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38246-2022</t>
        </is>
      </c>
      <c r="B378" s="1" t="n">
        <v>44812</v>
      </c>
      <c r="C378" s="1" t="n">
        <v>45356</v>
      </c>
      <c r="D378" t="inlineStr">
        <is>
          <t>VÄSTRA GÖTALANDS LÄN</t>
        </is>
      </c>
      <c r="E378" t="inlineStr">
        <is>
          <t>FALKÖPING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38244-2022</t>
        </is>
      </c>
      <c r="B379" s="1" t="n">
        <v>44812</v>
      </c>
      <c r="C379" s="1" t="n">
        <v>45356</v>
      </c>
      <c r="D379" t="inlineStr">
        <is>
          <t>VÄSTRA GÖTALANDS LÄN</t>
        </is>
      </c>
      <c r="E379" t="inlineStr">
        <is>
          <t>FALKÖPING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39720-2022</t>
        </is>
      </c>
      <c r="B380" s="1" t="n">
        <v>44819</v>
      </c>
      <c r="C380" s="1" t="n">
        <v>45356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40430-2022</t>
        </is>
      </c>
      <c r="B381" s="1" t="n">
        <v>44823</v>
      </c>
      <c r="C381" s="1" t="n">
        <v>45356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40589-2022</t>
        </is>
      </c>
      <c r="B382" s="1" t="n">
        <v>44823</v>
      </c>
      <c r="C382" s="1" t="n">
        <v>45356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40588-2022</t>
        </is>
      </c>
      <c r="B383" s="1" t="n">
        <v>44823</v>
      </c>
      <c r="C383" s="1" t="n">
        <v>45356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40735-2022</t>
        </is>
      </c>
      <c r="B384" s="1" t="n">
        <v>44824</v>
      </c>
      <c r="C384" s="1" t="n">
        <v>45356</v>
      </c>
      <c r="D384" t="inlineStr">
        <is>
          <t>VÄSTRA GÖTALANDS LÄN</t>
        </is>
      </c>
      <c r="E384" t="inlineStr">
        <is>
          <t>FALKÖPING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42838-2022</t>
        </is>
      </c>
      <c r="B385" s="1" t="n">
        <v>44832</v>
      </c>
      <c r="C385" s="1" t="n">
        <v>45356</v>
      </c>
      <c r="D385" t="inlineStr">
        <is>
          <t>VÄSTRA GÖTALANDS LÄN</t>
        </is>
      </c>
      <c r="E385" t="inlineStr">
        <is>
          <t>FALKÖPING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44002-2022</t>
        </is>
      </c>
      <c r="B386" s="1" t="n">
        <v>44838</v>
      </c>
      <c r="C386" s="1" t="n">
        <v>45356</v>
      </c>
      <c r="D386" t="inlineStr">
        <is>
          <t>VÄSTRA GÖTALANDS LÄN</t>
        </is>
      </c>
      <c r="E386" t="inlineStr">
        <is>
          <t>FALKÖPING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44000-2022</t>
        </is>
      </c>
      <c r="B387" s="1" t="n">
        <v>44838</v>
      </c>
      <c r="C387" s="1" t="n">
        <v>45356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44004-2022</t>
        </is>
      </c>
      <c r="B388" s="1" t="n">
        <v>44838</v>
      </c>
      <c r="C388" s="1" t="n">
        <v>45356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44023-2022</t>
        </is>
      </c>
      <c r="B389" s="1" t="n">
        <v>44838</v>
      </c>
      <c r="C389" s="1" t="n">
        <v>45356</v>
      </c>
      <c r="D389" t="inlineStr">
        <is>
          <t>VÄSTRA GÖTALANDS LÄN</t>
        </is>
      </c>
      <c r="E389" t="inlineStr">
        <is>
          <t>FALKÖPING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47523-2022</t>
        </is>
      </c>
      <c r="B390" s="1" t="n">
        <v>44853</v>
      </c>
      <c r="C390" s="1" t="n">
        <v>45356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49390-2022</t>
        </is>
      </c>
      <c r="B391" s="1" t="n">
        <v>44861</v>
      </c>
      <c r="C391" s="1" t="n">
        <v>45356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52252-2022</t>
        </is>
      </c>
      <c r="B392" s="1" t="n">
        <v>44869</v>
      </c>
      <c r="C392" s="1" t="n">
        <v>45356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53712-2022</t>
        </is>
      </c>
      <c r="B393" s="1" t="n">
        <v>44880</v>
      </c>
      <c r="C393" s="1" t="n">
        <v>45356</v>
      </c>
      <c r="D393" t="inlineStr">
        <is>
          <t>VÄSTRA GÖTALANDS LÄN</t>
        </is>
      </c>
      <c r="E393" t="inlineStr">
        <is>
          <t>FALKÖPING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53825-2022</t>
        </is>
      </c>
      <c r="B394" s="1" t="n">
        <v>44880</v>
      </c>
      <c r="C394" s="1" t="n">
        <v>45356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55312-2022</t>
        </is>
      </c>
      <c r="B395" s="1" t="n">
        <v>44882</v>
      </c>
      <c r="C395" s="1" t="n">
        <v>45356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56698-2022</t>
        </is>
      </c>
      <c r="B396" s="1" t="n">
        <v>44893</v>
      </c>
      <c r="C396" s="1" t="n">
        <v>45356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57260-2022</t>
        </is>
      </c>
      <c r="B397" s="1" t="n">
        <v>44895</v>
      </c>
      <c r="C397" s="1" t="n">
        <v>45356</v>
      </c>
      <c r="D397" t="inlineStr">
        <is>
          <t>VÄSTRA GÖTALANDS LÄN</t>
        </is>
      </c>
      <c r="E397" t="inlineStr">
        <is>
          <t>FALKÖPING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58701-2022</t>
        </is>
      </c>
      <c r="B398" s="1" t="n">
        <v>44895</v>
      </c>
      <c r="C398" s="1" t="n">
        <v>45356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58998-2022</t>
        </is>
      </c>
      <c r="B399" s="1" t="n">
        <v>44903</v>
      </c>
      <c r="C399" s="1" t="n">
        <v>45356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62179-2022</t>
        </is>
      </c>
      <c r="B400" s="1" t="n">
        <v>44922</v>
      </c>
      <c r="C400" s="1" t="n">
        <v>45356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248-2023</t>
        </is>
      </c>
      <c r="B401" s="1" t="n">
        <v>44928</v>
      </c>
      <c r="C401" s="1" t="n">
        <v>45356</v>
      </c>
      <c r="D401" t="inlineStr">
        <is>
          <t>VÄSTRA GÖTALANDS LÄN</t>
        </is>
      </c>
      <c r="E401" t="inlineStr">
        <is>
          <t>FALKÖPING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247-2023</t>
        </is>
      </c>
      <c r="B402" s="1" t="n">
        <v>44928</v>
      </c>
      <c r="C402" s="1" t="n">
        <v>45356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2989-2023</t>
        </is>
      </c>
      <c r="B403" s="1" t="n">
        <v>44945</v>
      </c>
      <c r="C403" s="1" t="n">
        <v>45356</v>
      </c>
      <c r="D403" t="inlineStr">
        <is>
          <t>VÄSTRA GÖTALANDS LÄN</t>
        </is>
      </c>
      <c r="E403" t="inlineStr">
        <is>
          <t>FALKÖPING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3461-2023</t>
        </is>
      </c>
      <c r="B404" s="1" t="n">
        <v>44949</v>
      </c>
      <c r="C404" s="1" t="n">
        <v>45356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3948-2023</t>
        </is>
      </c>
      <c r="B405" s="1" t="n">
        <v>44952</v>
      </c>
      <c r="C405" s="1" t="n">
        <v>45356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4415-2023</t>
        </is>
      </c>
      <c r="B406" s="1" t="n">
        <v>44952</v>
      </c>
      <c r="C406" s="1" t="n">
        <v>45356</v>
      </c>
      <c r="D406" t="inlineStr">
        <is>
          <t>VÄSTRA GÖTALANDS LÄN</t>
        </is>
      </c>
      <c r="E406" t="inlineStr">
        <is>
          <t>FALKÖPING</t>
        </is>
      </c>
      <c r="G406" t="n">
        <v>17.8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4434-2023</t>
        </is>
      </c>
      <c r="B407" s="1" t="n">
        <v>44952</v>
      </c>
      <c r="C407" s="1" t="n">
        <v>45356</v>
      </c>
      <c r="D407" t="inlineStr">
        <is>
          <t>VÄSTRA GÖTALANDS LÄN</t>
        </is>
      </c>
      <c r="E407" t="inlineStr">
        <is>
          <t>FALKÖPING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4436-2023</t>
        </is>
      </c>
      <c r="B408" s="1" t="n">
        <v>44952</v>
      </c>
      <c r="C408" s="1" t="n">
        <v>45356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4396-2023</t>
        </is>
      </c>
      <c r="B409" s="1" t="n">
        <v>44956</v>
      </c>
      <c r="C409" s="1" t="n">
        <v>45356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4675-2023</t>
        </is>
      </c>
      <c r="B410" s="1" t="n">
        <v>44957</v>
      </c>
      <c r="C410" s="1" t="n">
        <v>45356</v>
      </c>
      <c r="D410" t="inlineStr">
        <is>
          <t>VÄSTRA GÖTALANDS LÄN</t>
        </is>
      </c>
      <c r="E410" t="inlineStr">
        <is>
          <t>FALKÖPING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5375-2023</t>
        </is>
      </c>
      <c r="B411" s="1" t="n">
        <v>44957</v>
      </c>
      <c r="C411" s="1" t="n">
        <v>45356</v>
      </c>
      <c r="D411" t="inlineStr">
        <is>
          <t>VÄSTRA GÖTALANDS LÄN</t>
        </is>
      </c>
      <c r="E411" t="inlineStr">
        <is>
          <t>FALKÖPING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5657-2023</t>
        </is>
      </c>
      <c r="B412" s="1" t="n">
        <v>44960</v>
      </c>
      <c r="C412" s="1" t="n">
        <v>45356</v>
      </c>
      <c r="D412" t="inlineStr">
        <is>
          <t>VÄSTRA GÖTALANDS LÄN</t>
        </is>
      </c>
      <c r="E412" t="inlineStr">
        <is>
          <t>FALKÖPING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5465-2023</t>
        </is>
      </c>
      <c r="B413" s="1" t="n">
        <v>44960</v>
      </c>
      <c r="C413" s="1" t="n">
        <v>45356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5467-2023</t>
        </is>
      </c>
      <c r="B414" s="1" t="n">
        <v>44960</v>
      </c>
      <c r="C414" s="1" t="n">
        <v>45356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8326-2023</t>
        </is>
      </c>
      <c r="B415" s="1" t="n">
        <v>44974</v>
      </c>
      <c r="C415" s="1" t="n">
        <v>45356</v>
      </c>
      <c r="D415" t="inlineStr">
        <is>
          <t>VÄSTRA GÖTALANDS LÄN</t>
        </is>
      </c>
      <c r="E415" t="inlineStr">
        <is>
          <t>FALKÖPING</t>
        </is>
      </c>
      <c r="G415" t="n">
        <v>19.4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9008-2023</t>
        </is>
      </c>
      <c r="B416" s="1" t="n">
        <v>44979</v>
      </c>
      <c r="C416" s="1" t="n">
        <v>45356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Övriga Aktiebolag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9168-2023</t>
        </is>
      </c>
      <c r="B417" s="1" t="n">
        <v>44980</v>
      </c>
      <c r="C417" s="1" t="n">
        <v>45356</v>
      </c>
      <c r="D417" t="inlineStr">
        <is>
          <t>VÄSTRA GÖTALANDS LÄN</t>
        </is>
      </c>
      <c r="E417" t="inlineStr">
        <is>
          <t>FALKÖPING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10049-2023</t>
        </is>
      </c>
      <c r="B418" s="1" t="n">
        <v>44985</v>
      </c>
      <c r="C418" s="1" t="n">
        <v>45356</v>
      </c>
      <c r="D418" t="inlineStr">
        <is>
          <t>VÄSTRA GÖTALANDS LÄN</t>
        </is>
      </c>
      <c r="E418" t="inlineStr">
        <is>
          <t>FALKÖPING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10509-2023</t>
        </is>
      </c>
      <c r="B419" s="1" t="n">
        <v>44987</v>
      </c>
      <c r="C419" s="1" t="n">
        <v>45356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10511-2023</t>
        </is>
      </c>
      <c r="B420" s="1" t="n">
        <v>44987</v>
      </c>
      <c r="C420" s="1" t="n">
        <v>45356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11408-2023</t>
        </is>
      </c>
      <c r="B421" s="1" t="n">
        <v>44993</v>
      </c>
      <c r="C421" s="1" t="n">
        <v>45356</v>
      </c>
      <c r="D421" t="inlineStr">
        <is>
          <t>VÄSTRA GÖTALANDS LÄN</t>
        </is>
      </c>
      <c r="E421" t="inlineStr">
        <is>
          <t>FALKÖPING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14767-2023</t>
        </is>
      </c>
      <c r="B422" s="1" t="n">
        <v>45014</v>
      </c>
      <c r="C422" s="1" t="n">
        <v>45356</v>
      </c>
      <c r="D422" t="inlineStr">
        <is>
          <t>VÄSTRA GÖTALANDS LÄN</t>
        </is>
      </c>
      <c r="E422" t="inlineStr">
        <is>
          <t>FALKÖPING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14770-2023</t>
        </is>
      </c>
      <c r="B423" s="1" t="n">
        <v>45014</v>
      </c>
      <c r="C423" s="1" t="n">
        <v>45356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14768-2023</t>
        </is>
      </c>
      <c r="B424" s="1" t="n">
        <v>45014</v>
      </c>
      <c r="C424" s="1" t="n">
        <v>45356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14765-2023</t>
        </is>
      </c>
      <c r="B425" s="1" t="n">
        <v>45014</v>
      </c>
      <c r="C425" s="1" t="n">
        <v>45356</v>
      </c>
      <c r="D425" t="inlineStr">
        <is>
          <t>VÄSTRA GÖTALANDS LÄN</t>
        </is>
      </c>
      <c r="E425" t="inlineStr">
        <is>
          <t>FALKÖPING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14769-2023</t>
        </is>
      </c>
      <c r="B426" s="1" t="n">
        <v>45014</v>
      </c>
      <c r="C426" s="1" t="n">
        <v>45356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15209-2023</t>
        </is>
      </c>
      <c r="B427" s="1" t="n">
        <v>45018</v>
      </c>
      <c r="C427" s="1" t="n">
        <v>45356</v>
      </c>
      <c r="D427" t="inlineStr">
        <is>
          <t>VÄSTRA GÖTALANDS LÄN</t>
        </is>
      </c>
      <c r="E427" t="inlineStr">
        <is>
          <t>FALKÖPING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15924-2023</t>
        </is>
      </c>
      <c r="B428" s="1" t="n">
        <v>45022</v>
      </c>
      <c r="C428" s="1" t="n">
        <v>45356</v>
      </c>
      <c r="D428" t="inlineStr">
        <is>
          <t>VÄSTRA GÖTALANDS LÄN</t>
        </is>
      </c>
      <c r="E428" t="inlineStr">
        <is>
          <t>FALKÖPING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15928-2023</t>
        </is>
      </c>
      <c r="B429" s="1" t="n">
        <v>45022</v>
      </c>
      <c r="C429" s="1" t="n">
        <v>45356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16177-2023</t>
        </is>
      </c>
      <c r="B430" s="1" t="n">
        <v>45027</v>
      </c>
      <c r="C430" s="1" t="n">
        <v>45356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16347-2023</t>
        </is>
      </c>
      <c r="B431" s="1" t="n">
        <v>45028</v>
      </c>
      <c r="C431" s="1" t="n">
        <v>45356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16803-2023</t>
        </is>
      </c>
      <c r="B432" s="1" t="n">
        <v>45033</v>
      </c>
      <c r="C432" s="1" t="n">
        <v>45356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16938-2023</t>
        </is>
      </c>
      <c r="B433" s="1" t="n">
        <v>45033</v>
      </c>
      <c r="C433" s="1" t="n">
        <v>45356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16942-2023</t>
        </is>
      </c>
      <c r="B434" s="1" t="n">
        <v>45033</v>
      </c>
      <c r="C434" s="1" t="n">
        <v>45356</v>
      </c>
      <c r="D434" t="inlineStr">
        <is>
          <t>VÄSTRA GÖTALANDS LÄN</t>
        </is>
      </c>
      <c r="E434" t="inlineStr">
        <is>
          <t>FALKÖPING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16939-2023</t>
        </is>
      </c>
      <c r="B435" s="1" t="n">
        <v>45033</v>
      </c>
      <c r="C435" s="1" t="n">
        <v>45356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17495-2023</t>
        </is>
      </c>
      <c r="B436" s="1" t="n">
        <v>45036</v>
      </c>
      <c r="C436" s="1" t="n">
        <v>45356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17609-2023</t>
        </is>
      </c>
      <c r="B437" s="1" t="n">
        <v>45036</v>
      </c>
      <c r="C437" s="1" t="n">
        <v>45356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17629-2023</t>
        </is>
      </c>
      <c r="B438" s="1" t="n">
        <v>45036</v>
      </c>
      <c r="C438" s="1" t="n">
        <v>45356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</v>
      </c>
      <c r="C439" s="1" t="n">
        <v>45356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18126-2023</t>
        </is>
      </c>
      <c r="B440" s="1" t="n">
        <v>45040</v>
      </c>
      <c r="C440" s="1" t="n">
        <v>45356</v>
      </c>
      <c r="D440" t="inlineStr">
        <is>
          <t>VÄSTRA GÖTALANDS LÄN</t>
        </is>
      </c>
      <c r="E440" t="inlineStr">
        <is>
          <t>FALKÖPING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18548-2023</t>
        </is>
      </c>
      <c r="B441" s="1" t="n">
        <v>45042</v>
      </c>
      <c r="C441" s="1" t="n">
        <v>45356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19341-2023</t>
        </is>
      </c>
      <c r="B442" s="1" t="n">
        <v>45049</v>
      </c>
      <c r="C442" s="1" t="n">
        <v>45356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19470-2023</t>
        </is>
      </c>
      <c r="B443" s="1" t="n">
        <v>45050</v>
      </c>
      <c r="C443" s="1" t="n">
        <v>45356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19474-2023</t>
        </is>
      </c>
      <c r="B444" s="1" t="n">
        <v>45050</v>
      </c>
      <c r="C444" s="1" t="n">
        <v>45356</v>
      </c>
      <c r="D444" t="inlineStr">
        <is>
          <t>VÄSTRA GÖTALANDS LÄN</t>
        </is>
      </c>
      <c r="E444" t="inlineStr">
        <is>
          <t>FALKÖPING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21332-2023</t>
        </is>
      </c>
      <c r="B445" s="1" t="n">
        <v>45062</v>
      </c>
      <c r="C445" s="1" t="n">
        <v>45356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21728-2023</t>
        </is>
      </c>
      <c r="B446" s="1" t="n">
        <v>45065</v>
      </c>
      <c r="C446" s="1" t="n">
        <v>45356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21975-2023</t>
        </is>
      </c>
      <c r="B447" s="1" t="n">
        <v>45068</v>
      </c>
      <c r="C447" s="1" t="n">
        <v>45356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45356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23014-2023</t>
        </is>
      </c>
      <c r="B449" s="1" t="n">
        <v>45073</v>
      </c>
      <c r="C449" s="1" t="n">
        <v>45356</v>
      </c>
      <c r="D449" t="inlineStr">
        <is>
          <t>VÄSTRA GÖTALANDS LÄN</t>
        </is>
      </c>
      <c r="E449" t="inlineStr">
        <is>
          <t>FALKÖPING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23028-2023</t>
        </is>
      </c>
      <c r="B450" s="1" t="n">
        <v>45074</v>
      </c>
      <c r="C450" s="1" t="n">
        <v>45356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23030-2023</t>
        </is>
      </c>
      <c r="B451" s="1" t="n">
        <v>45074</v>
      </c>
      <c r="C451" s="1" t="n">
        <v>45356</v>
      </c>
      <c r="D451" t="inlineStr">
        <is>
          <t>VÄSTRA GÖTALANDS LÄN</t>
        </is>
      </c>
      <c r="E451" t="inlineStr">
        <is>
          <t>FALKÖPING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23029-2023</t>
        </is>
      </c>
      <c r="B452" s="1" t="n">
        <v>45074</v>
      </c>
      <c r="C452" s="1" t="n">
        <v>45356</v>
      </c>
      <c r="D452" t="inlineStr">
        <is>
          <t>VÄSTRA GÖTALANDS LÄN</t>
        </is>
      </c>
      <c r="E452" t="inlineStr">
        <is>
          <t>FALKÖPING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23086-2023</t>
        </is>
      </c>
      <c r="B453" s="1" t="n">
        <v>45075</v>
      </c>
      <c r="C453" s="1" t="n">
        <v>45356</v>
      </c>
      <c r="D453" t="inlineStr">
        <is>
          <t>VÄSTRA GÖTALANDS LÄN</t>
        </is>
      </c>
      <c r="E453" t="inlineStr">
        <is>
          <t>FALKÖPING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23472-2023</t>
        </is>
      </c>
      <c r="B454" s="1" t="n">
        <v>45076</v>
      </c>
      <c r="C454" s="1" t="n">
        <v>45356</v>
      </c>
      <c r="D454" t="inlineStr">
        <is>
          <t>VÄSTRA GÖTALANDS LÄN</t>
        </is>
      </c>
      <c r="E454" t="inlineStr">
        <is>
          <t>FALKÖPING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23473-2023</t>
        </is>
      </c>
      <c r="B455" s="1" t="n">
        <v>45076</v>
      </c>
      <c r="C455" s="1" t="n">
        <v>45356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23467-2023</t>
        </is>
      </c>
      <c r="B456" s="1" t="n">
        <v>45076</v>
      </c>
      <c r="C456" s="1" t="n">
        <v>45356</v>
      </c>
      <c r="D456" t="inlineStr">
        <is>
          <t>VÄSTRA GÖTALANDS LÄN</t>
        </is>
      </c>
      <c r="E456" t="inlineStr">
        <is>
          <t>FALKÖPING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23475-2023</t>
        </is>
      </c>
      <c r="B457" s="1" t="n">
        <v>45076</v>
      </c>
      <c r="C457" s="1" t="n">
        <v>45356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23476-2023</t>
        </is>
      </c>
      <c r="B458" s="1" t="n">
        <v>45076</v>
      </c>
      <c r="C458" s="1" t="n">
        <v>45356</v>
      </c>
      <c r="D458" t="inlineStr">
        <is>
          <t>VÄSTRA GÖTALANDS LÄN</t>
        </is>
      </c>
      <c r="E458" t="inlineStr">
        <is>
          <t>FALKÖPING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23877-2023</t>
        </is>
      </c>
      <c r="B459" s="1" t="n">
        <v>45078</v>
      </c>
      <c r="C459" s="1" t="n">
        <v>45356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23876-2023</t>
        </is>
      </c>
      <c r="B460" s="1" t="n">
        <v>45078</v>
      </c>
      <c r="C460" s="1" t="n">
        <v>45356</v>
      </c>
      <c r="D460" t="inlineStr">
        <is>
          <t>VÄSTRA GÖTALANDS LÄN</t>
        </is>
      </c>
      <c r="E460" t="inlineStr">
        <is>
          <t>FALKÖPING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24403-2023</t>
        </is>
      </c>
      <c r="B461" s="1" t="n">
        <v>45082</v>
      </c>
      <c r="C461" s="1" t="n">
        <v>45356</v>
      </c>
      <c r="D461" t="inlineStr">
        <is>
          <t>VÄSTRA GÖTALANDS LÄN</t>
        </is>
      </c>
      <c r="E461" t="inlineStr">
        <is>
          <t>FALKÖPING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24407-2023</t>
        </is>
      </c>
      <c r="B462" s="1" t="n">
        <v>45082</v>
      </c>
      <c r="C462" s="1" t="n">
        <v>45356</v>
      </c>
      <c r="D462" t="inlineStr">
        <is>
          <t>VÄSTRA GÖTALANDS LÄN</t>
        </is>
      </c>
      <c r="E462" t="inlineStr">
        <is>
          <t>FALKÖPING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24692-2023</t>
        </is>
      </c>
      <c r="B463" s="1" t="n">
        <v>45084</v>
      </c>
      <c r="C463" s="1" t="n">
        <v>45356</v>
      </c>
      <c r="D463" t="inlineStr">
        <is>
          <t>VÄSTRA GÖTALANDS LÄN</t>
        </is>
      </c>
      <c r="E463" t="inlineStr">
        <is>
          <t>FALKÖPING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24714-2023</t>
        </is>
      </c>
      <c r="B464" s="1" t="n">
        <v>45084</v>
      </c>
      <c r="C464" s="1" t="n">
        <v>45356</v>
      </c>
      <c r="D464" t="inlineStr">
        <is>
          <t>VÄSTRA GÖTALANDS LÄN</t>
        </is>
      </c>
      <c r="E464" t="inlineStr">
        <is>
          <t>FALKÖPING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24693-2023</t>
        </is>
      </c>
      <c r="B465" s="1" t="n">
        <v>45084</v>
      </c>
      <c r="C465" s="1" t="n">
        <v>45356</v>
      </c>
      <c r="D465" t="inlineStr">
        <is>
          <t>VÄSTRA GÖTALANDS LÄN</t>
        </is>
      </c>
      <c r="E465" t="inlineStr">
        <is>
          <t>FALKÖPING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24721-2023</t>
        </is>
      </c>
      <c r="B466" s="1" t="n">
        <v>45084</v>
      </c>
      <c r="C466" s="1" t="n">
        <v>45356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24838-2023</t>
        </is>
      </c>
      <c r="B467" s="1" t="n">
        <v>45085</v>
      </c>
      <c r="C467" s="1" t="n">
        <v>45356</v>
      </c>
      <c r="D467" t="inlineStr">
        <is>
          <t>VÄSTRA GÖTALANDS LÄN</t>
        </is>
      </c>
      <c r="E467" t="inlineStr">
        <is>
          <t>FALKÖPING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24870-2023</t>
        </is>
      </c>
      <c r="B468" s="1" t="n">
        <v>45085</v>
      </c>
      <c r="C468" s="1" t="n">
        <v>45356</v>
      </c>
      <c r="D468" t="inlineStr">
        <is>
          <t>VÄSTRA GÖTALANDS LÄN</t>
        </is>
      </c>
      <c r="E468" t="inlineStr">
        <is>
          <t>FALKÖPING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24869-2023</t>
        </is>
      </c>
      <c r="B469" s="1" t="n">
        <v>45085</v>
      </c>
      <c r="C469" s="1" t="n">
        <v>45356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25538-2023</t>
        </is>
      </c>
      <c r="B470" s="1" t="n">
        <v>45089</v>
      </c>
      <c r="C470" s="1" t="n">
        <v>45356</v>
      </c>
      <c r="D470" t="inlineStr">
        <is>
          <t>VÄSTRA GÖTALANDS LÄN</t>
        </is>
      </c>
      <c r="E470" t="inlineStr">
        <is>
          <t>FALKÖPING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25713-2023</t>
        </is>
      </c>
      <c r="B471" s="1" t="n">
        <v>45090</v>
      </c>
      <c r="C471" s="1" t="n">
        <v>45356</v>
      </c>
      <c r="D471" t="inlineStr">
        <is>
          <t>VÄSTRA GÖTALANDS LÄN</t>
        </is>
      </c>
      <c r="E471" t="inlineStr">
        <is>
          <t>FALKÖPING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26319-2023</t>
        </is>
      </c>
      <c r="B472" s="1" t="n">
        <v>45091</v>
      </c>
      <c r="C472" s="1" t="n">
        <v>45356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26163-2023</t>
        </is>
      </c>
      <c r="B473" s="1" t="n">
        <v>45091</v>
      </c>
      <c r="C473" s="1" t="n">
        <v>45356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26175-2023</t>
        </is>
      </c>
      <c r="B474" s="1" t="n">
        <v>45091</v>
      </c>
      <c r="C474" s="1" t="n">
        <v>45356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26563-2023</t>
        </is>
      </c>
      <c r="B475" s="1" t="n">
        <v>45092</v>
      </c>
      <c r="C475" s="1" t="n">
        <v>45356</v>
      </c>
      <c r="D475" t="inlineStr">
        <is>
          <t>VÄSTRA GÖTALANDS LÄN</t>
        </is>
      </c>
      <c r="E475" t="inlineStr">
        <is>
          <t>FALKÖPING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26731-2023</t>
        </is>
      </c>
      <c r="B476" s="1" t="n">
        <v>45093</v>
      </c>
      <c r="C476" s="1" t="n">
        <v>45356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27606-2023</t>
        </is>
      </c>
      <c r="B477" s="1" t="n">
        <v>45097</v>
      </c>
      <c r="C477" s="1" t="n">
        <v>45356</v>
      </c>
      <c r="D477" t="inlineStr">
        <is>
          <t>VÄSTRA GÖTALANDS LÄN</t>
        </is>
      </c>
      <c r="E477" t="inlineStr">
        <is>
          <t>FALKÖPING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28463-2023</t>
        </is>
      </c>
      <c r="B478" s="1" t="n">
        <v>45103</v>
      </c>
      <c r="C478" s="1" t="n">
        <v>45356</v>
      </c>
      <c r="D478" t="inlineStr">
        <is>
          <t>VÄSTRA GÖTALANDS LÄN</t>
        </is>
      </c>
      <c r="E478" t="inlineStr">
        <is>
          <t>FALKÖPING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29225-2023</t>
        </is>
      </c>
      <c r="B479" s="1" t="n">
        <v>45105</v>
      </c>
      <c r="C479" s="1" t="n">
        <v>45356</v>
      </c>
      <c r="D479" t="inlineStr">
        <is>
          <t>VÄSTRA GÖTALANDS LÄN</t>
        </is>
      </c>
      <c r="E479" t="inlineStr">
        <is>
          <t>FALKÖPING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29750-2023</t>
        </is>
      </c>
      <c r="B480" s="1" t="n">
        <v>45107</v>
      </c>
      <c r="C480" s="1" t="n">
        <v>45356</v>
      </c>
      <c r="D480" t="inlineStr">
        <is>
          <t>VÄSTRA GÖTALANDS LÄN</t>
        </is>
      </c>
      <c r="E480" t="inlineStr">
        <is>
          <t>FALKÖPING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30137-2023</t>
        </is>
      </c>
      <c r="B481" s="1" t="n">
        <v>45110</v>
      </c>
      <c r="C481" s="1" t="n">
        <v>45356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30443-2023</t>
        </is>
      </c>
      <c r="B482" s="1" t="n">
        <v>45111</v>
      </c>
      <c r="C482" s="1" t="n">
        <v>45356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30441-2023</t>
        </is>
      </c>
      <c r="B483" s="1" t="n">
        <v>45111</v>
      </c>
      <c r="C483" s="1" t="n">
        <v>45356</v>
      </c>
      <c r="D483" t="inlineStr">
        <is>
          <t>VÄSTRA GÖTALANDS LÄN</t>
        </is>
      </c>
      <c r="E483" t="inlineStr">
        <is>
          <t>FALKÖPING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30626-2023</t>
        </is>
      </c>
      <c r="B484" s="1" t="n">
        <v>45112</v>
      </c>
      <c r="C484" s="1" t="n">
        <v>45356</v>
      </c>
      <c r="D484" t="inlineStr">
        <is>
          <t>VÄSTRA GÖTALANDS LÄN</t>
        </is>
      </c>
      <c r="E484" t="inlineStr">
        <is>
          <t>FALKÖPING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31141-2023</t>
        </is>
      </c>
      <c r="B485" s="1" t="n">
        <v>45113</v>
      </c>
      <c r="C485" s="1" t="n">
        <v>45356</v>
      </c>
      <c r="D485" t="inlineStr">
        <is>
          <t>VÄSTRA GÖTALANDS LÄN</t>
        </is>
      </c>
      <c r="E485" t="inlineStr">
        <is>
          <t>FALKÖPING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31145-2023</t>
        </is>
      </c>
      <c r="B486" s="1" t="n">
        <v>45113</v>
      </c>
      <c r="C486" s="1" t="n">
        <v>45356</v>
      </c>
      <c r="D486" t="inlineStr">
        <is>
          <t>VÄSTRA GÖTALANDS LÄN</t>
        </is>
      </c>
      <c r="E486" t="inlineStr">
        <is>
          <t>FALKÖPING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31252-2023</t>
        </is>
      </c>
      <c r="B487" s="1" t="n">
        <v>45114</v>
      </c>
      <c r="C487" s="1" t="n">
        <v>45356</v>
      </c>
      <c r="D487" t="inlineStr">
        <is>
          <t>VÄSTRA GÖTALANDS LÄN</t>
        </is>
      </c>
      <c r="E487" t="inlineStr">
        <is>
          <t>FALKÖPING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31521-2023</t>
        </is>
      </c>
      <c r="B488" s="1" t="n">
        <v>45116</v>
      </c>
      <c r="C488" s="1" t="n">
        <v>45356</v>
      </c>
      <c r="D488" t="inlineStr">
        <is>
          <t>VÄSTRA GÖTALANDS LÄN</t>
        </is>
      </c>
      <c r="E488" t="inlineStr">
        <is>
          <t>FALKÖPING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32532-2023</t>
        </is>
      </c>
      <c r="B489" s="1" t="n">
        <v>45121</v>
      </c>
      <c r="C489" s="1" t="n">
        <v>45356</v>
      </c>
      <c r="D489" t="inlineStr">
        <is>
          <t>VÄSTRA GÖTALANDS LÄN</t>
        </is>
      </c>
      <c r="E489" t="inlineStr">
        <is>
          <t>FALKÖPING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32533-2023</t>
        </is>
      </c>
      <c r="B490" s="1" t="n">
        <v>45121</v>
      </c>
      <c r="C490" s="1" t="n">
        <v>45356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32775-2023</t>
        </is>
      </c>
      <c r="B491" s="1" t="n">
        <v>45123</v>
      </c>
      <c r="C491" s="1" t="n">
        <v>45356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32774-2023</t>
        </is>
      </c>
      <c r="B492" s="1" t="n">
        <v>45123</v>
      </c>
      <c r="C492" s="1" t="n">
        <v>45356</v>
      </c>
      <c r="D492" t="inlineStr">
        <is>
          <t>VÄSTRA GÖTALANDS LÄN</t>
        </is>
      </c>
      <c r="E492" t="inlineStr">
        <is>
          <t>FALKÖPING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32792-2023</t>
        </is>
      </c>
      <c r="B493" s="1" t="n">
        <v>45124</v>
      </c>
      <c r="C493" s="1" t="n">
        <v>45356</v>
      </c>
      <c r="D493" t="inlineStr">
        <is>
          <t>VÄSTRA GÖTALANDS LÄN</t>
        </is>
      </c>
      <c r="E493" t="inlineStr">
        <is>
          <t>FALKÖPING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34501-2023</t>
        </is>
      </c>
      <c r="B494" s="1" t="n">
        <v>45133</v>
      </c>
      <c r="C494" s="1" t="n">
        <v>45356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34510-2023</t>
        </is>
      </c>
      <c r="B495" s="1" t="n">
        <v>45140</v>
      </c>
      <c r="C495" s="1" t="n">
        <v>45356</v>
      </c>
      <c r="D495" t="inlineStr">
        <is>
          <t>VÄSTRA GÖTALANDS LÄN</t>
        </is>
      </c>
      <c r="E495" t="inlineStr">
        <is>
          <t>FALKÖPING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34826-2023</t>
        </is>
      </c>
      <c r="B496" s="1" t="n">
        <v>45141</v>
      </c>
      <c r="C496" s="1" t="n">
        <v>45356</v>
      </c>
      <c r="D496" t="inlineStr">
        <is>
          <t>VÄSTRA GÖTALANDS LÄN</t>
        </is>
      </c>
      <c r="E496" t="inlineStr">
        <is>
          <t>FALKÖPING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35038-2023</t>
        </is>
      </c>
      <c r="B497" s="1" t="n">
        <v>45142</v>
      </c>
      <c r="C497" s="1" t="n">
        <v>45356</v>
      </c>
      <c r="D497" t="inlineStr">
        <is>
          <t>VÄSTRA GÖTALANDS LÄN</t>
        </is>
      </c>
      <c r="E497" t="inlineStr">
        <is>
          <t>FALKÖPING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35021-2023</t>
        </is>
      </c>
      <c r="B498" s="1" t="n">
        <v>45143</v>
      </c>
      <c r="C498" s="1" t="n">
        <v>45356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35450-2023</t>
        </is>
      </c>
      <c r="B499" s="1" t="n">
        <v>45146</v>
      </c>
      <c r="C499" s="1" t="n">
        <v>45356</v>
      </c>
      <c r="D499" t="inlineStr">
        <is>
          <t>VÄSTRA GÖTALANDS LÄN</t>
        </is>
      </c>
      <c r="E499" t="inlineStr">
        <is>
          <t>FALKÖPING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35836-2023</t>
        </is>
      </c>
      <c r="B500" s="1" t="n">
        <v>45148</v>
      </c>
      <c r="C500" s="1" t="n">
        <v>45356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35842-2023</t>
        </is>
      </c>
      <c r="B501" s="1" t="n">
        <v>45148</v>
      </c>
      <c r="C501" s="1" t="n">
        <v>45356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35904-2023</t>
        </is>
      </c>
      <c r="B502" s="1" t="n">
        <v>45148</v>
      </c>
      <c r="C502" s="1" t="n">
        <v>45356</v>
      </c>
      <c r="D502" t="inlineStr">
        <is>
          <t>VÄSTRA GÖTALANDS LÄN</t>
        </is>
      </c>
      <c r="E502" t="inlineStr">
        <is>
          <t>FALKÖPING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35819-2023</t>
        </is>
      </c>
      <c r="B503" s="1" t="n">
        <v>45148</v>
      </c>
      <c r="C503" s="1" t="n">
        <v>45356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36796-2023</t>
        </is>
      </c>
      <c r="B504" s="1" t="n">
        <v>45154</v>
      </c>
      <c r="C504" s="1" t="n">
        <v>45356</v>
      </c>
      <c r="D504" t="inlineStr">
        <is>
          <t>VÄSTRA GÖTALANDS LÄN</t>
        </is>
      </c>
      <c r="E504" t="inlineStr">
        <is>
          <t>FALKÖPING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36798-2023</t>
        </is>
      </c>
      <c r="B505" s="1" t="n">
        <v>45154</v>
      </c>
      <c r="C505" s="1" t="n">
        <v>45356</v>
      </c>
      <c r="D505" t="inlineStr">
        <is>
          <t>VÄSTRA GÖTALANDS LÄN</t>
        </is>
      </c>
      <c r="E505" t="inlineStr">
        <is>
          <t>FALKÖPING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37209-2023</t>
        </is>
      </c>
      <c r="B506" s="1" t="n">
        <v>45155</v>
      </c>
      <c r="C506" s="1" t="n">
        <v>45356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37207-2023</t>
        </is>
      </c>
      <c r="B507" s="1" t="n">
        <v>45155</v>
      </c>
      <c r="C507" s="1" t="n">
        <v>45356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38111-2023</t>
        </is>
      </c>
      <c r="B508" s="1" t="n">
        <v>45161</v>
      </c>
      <c r="C508" s="1" t="n">
        <v>45356</v>
      </c>
      <c r="D508" t="inlineStr">
        <is>
          <t>VÄSTRA GÖTALANDS LÄN</t>
        </is>
      </c>
      <c r="E508" t="inlineStr">
        <is>
          <t>FALKÖPING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38320-2023</t>
        </is>
      </c>
      <c r="B509" s="1" t="n">
        <v>45161</v>
      </c>
      <c r="C509" s="1" t="n">
        <v>45356</v>
      </c>
      <c r="D509" t="inlineStr">
        <is>
          <t>VÄSTRA GÖTALANDS LÄN</t>
        </is>
      </c>
      <c r="E509" t="inlineStr">
        <is>
          <t>FALKÖPING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38394-2023</t>
        </is>
      </c>
      <c r="B510" s="1" t="n">
        <v>45162</v>
      </c>
      <c r="C510" s="1" t="n">
        <v>45356</v>
      </c>
      <c r="D510" t="inlineStr">
        <is>
          <t>VÄSTRA GÖTALANDS LÄN</t>
        </is>
      </c>
      <c r="E510" t="inlineStr">
        <is>
          <t>FALKÖPING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38948-2023</t>
        </is>
      </c>
      <c r="B511" s="1" t="n">
        <v>45163</v>
      </c>
      <c r="C511" s="1" t="n">
        <v>45356</v>
      </c>
      <c r="D511" t="inlineStr">
        <is>
          <t>VÄSTRA GÖTALANDS LÄN</t>
        </is>
      </c>
      <c r="E511" t="inlineStr">
        <is>
          <t>FALKÖPING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38974-2023</t>
        </is>
      </c>
      <c r="B512" s="1" t="n">
        <v>45163</v>
      </c>
      <c r="C512" s="1" t="n">
        <v>45356</v>
      </c>
      <c r="D512" t="inlineStr">
        <is>
          <t>VÄSTRA GÖTALANDS LÄN</t>
        </is>
      </c>
      <c r="E512" t="inlineStr">
        <is>
          <t>FALKÖPING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38946-2023</t>
        </is>
      </c>
      <c r="B513" s="1" t="n">
        <v>45163</v>
      </c>
      <c r="C513" s="1" t="n">
        <v>45356</v>
      </c>
      <c r="D513" t="inlineStr">
        <is>
          <t>VÄSTRA GÖTALANDS LÄN</t>
        </is>
      </c>
      <c r="E513" t="inlineStr">
        <is>
          <t>FALKÖPING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38958-2023</t>
        </is>
      </c>
      <c r="B514" s="1" t="n">
        <v>45163</v>
      </c>
      <c r="C514" s="1" t="n">
        <v>45356</v>
      </c>
      <c r="D514" t="inlineStr">
        <is>
          <t>VÄSTRA GÖTALANDS LÄN</t>
        </is>
      </c>
      <c r="E514" t="inlineStr">
        <is>
          <t>FALKÖPING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38983-2023</t>
        </is>
      </c>
      <c r="B515" s="1" t="n">
        <v>45163</v>
      </c>
      <c r="C515" s="1" t="n">
        <v>45356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39278-2023</t>
        </is>
      </c>
      <c r="B516" s="1" t="n">
        <v>45166</v>
      </c>
      <c r="C516" s="1" t="n">
        <v>45356</v>
      </c>
      <c r="D516" t="inlineStr">
        <is>
          <t>VÄSTRA GÖTALANDS LÄN</t>
        </is>
      </c>
      <c r="E516" t="inlineStr">
        <is>
          <t>FALKÖPING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39997-2023</t>
        </is>
      </c>
      <c r="B517" s="1" t="n">
        <v>45168</v>
      </c>
      <c r="C517" s="1" t="n">
        <v>45356</v>
      </c>
      <c r="D517" t="inlineStr">
        <is>
          <t>VÄSTRA GÖTALANDS LÄN</t>
        </is>
      </c>
      <c r="E517" t="inlineStr">
        <is>
          <t>FALKÖPING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40371-2023</t>
        </is>
      </c>
      <c r="B518" s="1" t="n">
        <v>45169</v>
      </c>
      <c r="C518" s="1" t="n">
        <v>45356</v>
      </c>
      <c r="D518" t="inlineStr">
        <is>
          <t>VÄSTRA GÖTALANDS LÄN</t>
        </is>
      </c>
      <c r="E518" t="inlineStr">
        <is>
          <t>FALKÖPING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40375-2023</t>
        </is>
      </c>
      <c r="B519" s="1" t="n">
        <v>45169</v>
      </c>
      <c r="C519" s="1" t="n">
        <v>45356</v>
      </c>
      <c r="D519" t="inlineStr">
        <is>
          <t>VÄSTRA GÖTALANDS LÄN</t>
        </is>
      </c>
      <c r="E519" t="inlineStr">
        <is>
          <t>FALKÖPING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42416-2023</t>
        </is>
      </c>
      <c r="B520" s="1" t="n">
        <v>45180</v>
      </c>
      <c r="C520" s="1" t="n">
        <v>45356</v>
      </c>
      <c r="D520" t="inlineStr">
        <is>
          <t>VÄSTRA GÖTALANDS LÄN</t>
        </is>
      </c>
      <c r="E520" t="inlineStr">
        <is>
          <t>FALKÖPING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43783-2023</t>
        </is>
      </c>
      <c r="B521" s="1" t="n">
        <v>45187</v>
      </c>
      <c r="C521" s="1" t="n">
        <v>45356</v>
      </c>
      <c r="D521" t="inlineStr">
        <is>
          <t>VÄSTRA GÖTALANDS LÄN</t>
        </is>
      </c>
      <c r="E521" t="inlineStr">
        <is>
          <t>FALKÖPING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44878-2023</t>
        </is>
      </c>
      <c r="B522" s="1" t="n">
        <v>45187</v>
      </c>
      <c r="C522" s="1" t="n">
        <v>45356</v>
      </c>
      <c r="D522" t="inlineStr">
        <is>
          <t>VÄSTRA GÖTALANDS LÄN</t>
        </is>
      </c>
      <c r="E522" t="inlineStr">
        <is>
          <t>FALKÖPING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44285-2023</t>
        </is>
      </c>
      <c r="B523" s="1" t="n">
        <v>45188</v>
      </c>
      <c r="C523" s="1" t="n">
        <v>45356</v>
      </c>
      <c r="D523" t="inlineStr">
        <is>
          <t>VÄSTRA GÖTALANDS LÄN</t>
        </is>
      </c>
      <c r="E523" t="inlineStr">
        <is>
          <t>FALKÖPING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44700-2023</t>
        </is>
      </c>
      <c r="B524" s="1" t="n">
        <v>45190</v>
      </c>
      <c r="C524" s="1" t="n">
        <v>45356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45667-2023</t>
        </is>
      </c>
      <c r="B525" s="1" t="n">
        <v>45194</v>
      </c>
      <c r="C525" s="1" t="n">
        <v>45356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46312-2023</t>
        </is>
      </c>
      <c r="B526" s="1" t="n">
        <v>45197</v>
      </c>
      <c r="C526" s="1" t="n">
        <v>45356</v>
      </c>
      <c r="D526" t="inlineStr">
        <is>
          <t>VÄSTRA GÖTALANDS LÄN</t>
        </is>
      </c>
      <c r="E526" t="inlineStr">
        <is>
          <t>FALKÖPING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46313-2023</t>
        </is>
      </c>
      <c r="B527" s="1" t="n">
        <v>45197</v>
      </c>
      <c r="C527" s="1" t="n">
        <v>45356</v>
      </c>
      <c r="D527" t="inlineStr">
        <is>
          <t>VÄSTRA GÖTALANDS LÄN</t>
        </is>
      </c>
      <c r="E527" t="inlineStr">
        <is>
          <t>FALKÖPING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46843-2023</t>
        </is>
      </c>
      <c r="B528" s="1" t="n">
        <v>45199</v>
      </c>
      <c r="C528" s="1" t="n">
        <v>45356</v>
      </c>
      <c r="D528" t="inlineStr">
        <is>
          <t>VÄSTRA GÖTALANDS LÄN</t>
        </is>
      </c>
      <c r="E528" t="inlineStr">
        <is>
          <t>FALKÖPING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47037-2023</t>
        </is>
      </c>
      <c r="B529" s="1" t="n">
        <v>45201</v>
      </c>
      <c r="C529" s="1" t="n">
        <v>45356</v>
      </c>
      <c r="D529" t="inlineStr">
        <is>
          <t>VÄSTRA GÖTALANDS LÄN</t>
        </is>
      </c>
      <c r="E529" t="inlineStr">
        <is>
          <t>FALKÖPING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47420-2023</t>
        </is>
      </c>
      <c r="B530" s="1" t="n">
        <v>45202</v>
      </c>
      <c r="C530" s="1" t="n">
        <v>45356</v>
      </c>
      <c r="D530" t="inlineStr">
        <is>
          <t>VÄSTRA GÖTALANDS LÄN</t>
        </is>
      </c>
      <c r="E530" t="inlineStr">
        <is>
          <t>FALKÖPING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47562-2023</t>
        </is>
      </c>
      <c r="B531" s="1" t="n">
        <v>45203</v>
      </c>
      <c r="C531" s="1" t="n">
        <v>45356</v>
      </c>
      <c r="D531" t="inlineStr">
        <is>
          <t>VÄSTRA GÖTALANDS LÄN</t>
        </is>
      </c>
      <c r="E531" t="inlineStr">
        <is>
          <t>FALKÖPING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47922-2023</t>
        </is>
      </c>
      <c r="B532" s="1" t="n">
        <v>45204</v>
      </c>
      <c r="C532" s="1" t="n">
        <v>45356</v>
      </c>
      <c r="D532" t="inlineStr">
        <is>
          <t>VÄSTRA GÖTALANDS LÄN</t>
        </is>
      </c>
      <c r="E532" t="inlineStr">
        <is>
          <t>FALKÖPING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48000-2023</t>
        </is>
      </c>
      <c r="B533" s="1" t="n">
        <v>45204</v>
      </c>
      <c r="C533" s="1" t="n">
        <v>45356</v>
      </c>
      <c r="D533" t="inlineStr">
        <is>
          <t>VÄSTRA GÖTALANDS LÄN</t>
        </is>
      </c>
      <c r="E533" t="inlineStr">
        <is>
          <t>FALKÖPING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48016-2023</t>
        </is>
      </c>
      <c r="B534" s="1" t="n">
        <v>45204</v>
      </c>
      <c r="C534" s="1" t="n">
        <v>45356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49278-2023</t>
        </is>
      </c>
      <c r="B535" s="1" t="n">
        <v>45210</v>
      </c>
      <c r="C535" s="1" t="n">
        <v>45356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50722-2023</t>
        </is>
      </c>
      <c r="B536" s="1" t="n">
        <v>45217</v>
      </c>
      <c r="C536" s="1" t="n">
        <v>45356</v>
      </c>
      <c r="D536" t="inlineStr">
        <is>
          <t>VÄSTRA GÖTALANDS LÄN</t>
        </is>
      </c>
      <c r="E536" t="inlineStr">
        <is>
          <t>FALKÖPING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50720-2023</t>
        </is>
      </c>
      <c r="B537" s="1" t="n">
        <v>45217</v>
      </c>
      <c r="C537" s="1" t="n">
        <v>45356</v>
      </c>
      <c r="D537" t="inlineStr">
        <is>
          <t>VÄSTRA GÖTALANDS LÄN</t>
        </is>
      </c>
      <c r="E537" t="inlineStr">
        <is>
          <t>FALKÖPING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51207-2023</t>
        </is>
      </c>
      <c r="B538" s="1" t="n">
        <v>45219</v>
      </c>
      <c r="C538" s="1" t="n">
        <v>45356</v>
      </c>
      <c r="D538" t="inlineStr">
        <is>
          <t>VÄSTRA GÖTALANDS LÄN</t>
        </is>
      </c>
      <c r="E538" t="inlineStr">
        <is>
          <t>FALKÖPING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52455-2023</t>
        </is>
      </c>
      <c r="B539" s="1" t="n">
        <v>45225</v>
      </c>
      <c r="C539" s="1" t="n">
        <v>45356</v>
      </c>
      <c r="D539" t="inlineStr">
        <is>
          <t>VÄSTRA GÖTALANDS LÄN</t>
        </is>
      </c>
      <c r="E539" t="inlineStr">
        <is>
          <t>FALKÖPING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52704-2023</t>
        </is>
      </c>
      <c r="B540" s="1" t="n">
        <v>45225</v>
      </c>
      <c r="C540" s="1" t="n">
        <v>45356</v>
      </c>
      <c r="D540" t="inlineStr">
        <is>
          <t>VÄSTRA GÖTALANDS LÄN</t>
        </is>
      </c>
      <c r="E540" t="inlineStr">
        <is>
          <t>FALKÖPING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52613-2023</t>
        </is>
      </c>
      <c r="B541" s="1" t="n">
        <v>45225</v>
      </c>
      <c r="C541" s="1" t="n">
        <v>45356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52625-2023</t>
        </is>
      </c>
      <c r="B542" s="1" t="n">
        <v>45225</v>
      </c>
      <c r="C542" s="1" t="n">
        <v>45356</v>
      </c>
      <c r="D542" t="inlineStr">
        <is>
          <t>VÄSTRA GÖTALANDS LÄN</t>
        </is>
      </c>
      <c r="E542" t="inlineStr">
        <is>
          <t>FALKÖPING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52624-2023</t>
        </is>
      </c>
      <c r="B543" s="1" t="n">
        <v>45225</v>
      </c>
      <c r="C543" s="1" t="n">
        <v>45356</v>
      </c>
      <c r="D543" t="inlineStr">
        <is>
          <t>VÄSTRA GÖTALANDS LÄN</t>
        </is>
      </c>
      <c r="E543" t="inlineStr">
        <is>
          <t>FALKÖPING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52886-2023</t>
        </is>
      </c>
      <c r="B544" s="1" t="n">
        <v>45226</v>
      </c>
      <c r="C544" s="1" t="n">
        <v>45356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52895-2023</t>
        </is>
      </c>
      <c r="B545" s="1" t="n">
        <v>45226</v>
      </c>
      <c r="C545" s="1" t="n">
        <v>45356</v>
      </c>
      <c r="D545" t="inlineStr">
        <is>
          <t>VÄSTRA GÖTALANDS LÄN</t>
        </is>
      </c>
      <c r="E545" t="inlineStr">
        <is>
          <t>FALKÖPING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52897-2023</t>
        </is>
      </c>
      <c r="B546" s="1" t="n">
        <v>45226</v>
      </c>
      <c r="C546" s="1" t="n">
        <v>45356</v>
      </c>
      <c r="D546" t="inlineStr">
        <is>
          <t>VÄSTRA GÖTALANDS LÄN</t>
        </is>
      </c>
      <c r="E546" t="inlineStr">
        <is>
          <t>FALKÖPING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52893-2023</t>
        </is>
      </c>
      <c r="B547" s="1" t="n">
        <v>45226</v>
      </c>
      <c r="C547" s="1" t="n">
        <v>45356</v>
      </c>
      <c r="D547" t="inlineStr">
        <is>
          <t>VÄSTRA GÖTALANDS LÄN</t>
        </is>
      </c>
      <c r="E547" t="inlineStr">
        <is>
          <t>FALKÖPING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54578-2023</t>
        </is>
      </c>
      <c r="B548" s="1" t="n">
        <v>45233</v>
      </c>
      <c r="C548" s="1" t="n">
        <v>45356</v>
      </c>
      <c r="D548" t="inlineStr">
        <is>
          <t>VÄSTRA GÖTALANDS LÄN</t>
        </is>
      </c>
      <c r="E548" t="inlineStr">
        <is>
          <t>FALKÖPING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54574-2023</t>
        </is>
      </c>
      <c r="B549" s="1" t="n">
        <v>45233</v>
      </c>
      <c r="C549" s="1" t="n">
        <v>45356</v>
      </c>
      <c r="D549" t="inlineStr">
        <is>
          <t>VÄSTRA GÖTALANDS LÄN</t>
        </is>
      </c>
      <c r="E549" t="inlineStr">
        <is>
          <t>FALKÖPING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54763-2023</t>
        </is>
      </c>
      <c r="B550" s="1" t="n">
        <v>45236</v>
      </c>
      <c r="C550" s="1" t="n">
        <v>45356</v>
      </c>
      <c r="D550" t="inlineStr">
        <is>
          <t>VÄSTRA GÖTALANDS LÄN</t>
        </is>
      </c>
      <c r="E550" t="inlineStr">
        <is>
          <t>FALKÖPING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54774-2023</t>
        </is>
      </c>
      <c r="B551" s="1" t="n">
        <v>45236</v>
      </c>
      <c r="C551" s="1" t="n">
        <v>45356</v>
      </c>
      <c r="D551" t="inlineStr">
        <is>
          <t>VÄSTRA GÖTALANDS LÄN</t>
        </is>
      </c>
      <c r="E551" t="inlineStr">
        <is>
          <t>FALKÖPING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54770-2023</t>
        </is>
      </c>
      <c r="B552" s="1" t="n">
        <v>45236</v>
      </c>
      <c r="C552" s="1" t="n">
        <v>45356</v>
      </c>
      <c r="D552" t="inlineStr">
        <is>
          <t>VÄSTRA GÖTALANDS LÄN</t>
        </is>
      </c>
      <c r="E552" t="inlineStr">
        <is>
          <t>FALKÖPING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55122-2023</t>
        </is>
      </c>
      <c r="B553" s="1" t="n">
        <v>45237</v>
      </c>
      <c r="C553" s="1" t="n">
        <v>45356</v>
      </c>
      <c r="D553" t="inlineStr">
        <is>
          <t>VÄSTRA GÖTALANDS LÄN</t>
        </is>
      </c>
      <c r="E553" t="inlineStr">
        <is>
          <t>FALKÖPING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55013-2023</t>
        </is>
      </c>
      <c r="B554" s="1" t="n">
        <v>45237</v>
      </c>
      <c r="C554" s="1" t="n">
        <v>45356</v>
      </c>
      <c r="D554" t="inlineStr">
        <is>
          <t>VÄSTRA GÖTALANDS LÄN</t>
        </is>
      </c>
      <c r="E554" t="inlineStr">
        <is>
          <t>FALKÖPING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55017-2023</t>
        </is>
      </c>
      <c r="B555" s="1" t="n">
        <v>45237</v>
      </c>
      <c r="C555" s="1" t="n">
        <v>45356</v>
      </c>
      <c r="D555" t="inlineStr">
        <is>
          <t>VÄSTRA GÖTALANDS LÄN</t>
        </is>
      </c>
      <c r="E555" t="inlineStr">
        <is>
          <t>FALKÖPING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56761-2023</t>
        </is>
      </c>
      <c r="B556" s="1" t="n">
        <v>45238</v>
      </c>
      <c r="C556" s="1" t="n">
        <v>45356</v>
      </c>
      <c r="D556" t="inlineStr">
        <is>
          <t>VÄSTRA GÖTALANDS LÄN</t>
        </is>
      </c>
      <c r="E556" t="inlineStr">
        <is>
          <t>FALKÖPING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55734-2023</t>
        </is>
      </c>
      <c r="B557" s="1" t="n">
        <v>45239</v>
      </c>
      <c r="C557" s="1" t="n">
        <v>45356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56860-2023</t>
        </is>
      </c>
      <c r="B558" s="1" t="n">
        <v>45244</v>
      </c>
      <c r="C558" s="1" t="n">
        <v>45356</v>
      </c>
      <c r="D558" t="inlineStr">
        <is>
          <t>VÄSTRA GÖTALANDS LÄN</t>
        </is>
      </c>
      <c r="E558" t="inlineStr">
        <is>
          <t>FALKÖPING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56858-2023</t>
        </is>
      </c>
      <c r="B559" s="1" t="n">
        <v>45244</v>
      </c>
      <c r="C559" s="1" t="n">
        <v>45356</v>
      </c>
      <c r="D559" t="inlineStr">
        <is>
          <t>VÄSTRA GÖTALANDS LÄN</t>
        </is>
      </c>
      <c r="E559" t="inlineStr">
        <is>
          <t>FALKÖPING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57923-2023</t>
        </is>
      </c>
      <c r="B560" s="1" t="n">
        <v>45244</v>
      </c>
      <c r="C560" s="1" t="n">
        <v>45356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57746-2023</t>
        </is>
      </c>
      <c r="B561" s="1" t="n">
        <v>45246</v>
      </c>
      <c r="C561" s="1" t="n">
        <v>45356</v>
      </c>
      <c r="D561" t="inlineStr">
        <is>
          <t>VÄSTRA GÖTALANDS LÄN</t>
        </is>
      </c>
      <c r="E561" t="inlineStr">
        <is>
          <t>FALKÖPING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58053-2023</t>
        </is>
      </c>
      <c r="B562" s="1" t="n">
        <v>45247</v>
      </c>
      <c r="C562" s="1" t="n">
        <v>45356</v>
      </c>
      <c r="D562" t="inlineStr">
        <is>
          <t>VÄSTRA GÖTALANDS LÄN</t>
        </is>
      </c>
      <c r="E562" t="inlineStr">
        <is>
          <t>FALKÖPING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58257-2023</t>
        </is>
      </c>
      <c r="B563" s="1" t="n">
        <v>45250</v>
      </c>
      <c r="C563" s="1" t="n">
        <v>45356</v>
      </c>
      <c r="D563" t="inlineStr">
        <is>
          <t>VÄSTRA GÖTALANDS LÄN</t>
        </is>
      </c>
      <c r="E563" t="inlineStr">
        <is>
          <t>FALKÖPING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58706-2023</t>
        </is>
      </c>
      <c r="B564" s="1" t="n">
        <v>45251</v>
      </c>
      <c r="C564" s="1" t="n">
        <v>45356</v>
      </c>
      <c r="D564" t="inlineStr">
        <is>
          <t>VÄSTRA GÖTALANDS LÄN</t>
        </is>
      </c>
      <c r="E564" t="inlineStr">
        <is>
          <t>FALKÖPING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58704-2023</t>
        </is>
      </c>
      <c r="B565" s="1" t="n">
        <v>45251</v>
      </c>
      <c r="C565" s="1" t="n">
        <v>45356</v>
      </c>
      <c r="D565" t="inlineStr">
        <is>
          <t>VÄSTRA GÖTALANDS LÄN</t>
        </is>
      </c>
      <c r="E565" t="inlineStr">
        <is>
          <t>FALKÖPING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58708-2023</t>
        </is>
      </c>
      <c r="B566" s="1" t="n">
        <v>45251</v>
      </c>
      <c r="C566" s="1" t="n">
        <v>45356</v>
      </c>
      <c r="D566" t="inlineStr">
        <is>
          <t>VÄSTRA GÖTALANDS LÄN</t>
        </is>
      </c>
      <c r="E566" t="inlineStr">
        <is>
          <t>FALKÖPING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58705-2023</t>
        </is>
      </c>
      <c r="B567" s="1" t="n">
        <v>45251</v>
      </c>
      <c r="C567" s="1" t="n">
        <v>45356</v>
      </c>
      <c r="D567" t="inlineStr">
        <is>
          <t>VÄSTRA GÖTALANDS LÄN</t>
        </is>
      </c>
      <c r="E567" t="inlineStr">
        <is>
          <t>FALKÖPING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58707-2023</t>
        </is>
      </c>
      <c r="B568" s="1" t="n">
        <v>45251</v>
      </c>
      <c r="C568" s="1" t="n">
        <v>45356</v>
      </c>
      <c r="D568" t="inlineStr">
        <is>
          <t>VÄSTRA GÖTALANDS LÄN</t>
        </is>
      </c>
      <c r="E568" t="inlineStr">
        <is>
          <t>FALKÖPING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59387-2023</t>
        </is>
      </c>
      <c r="B569" s="1" t="n">
        <v>45253</v>
      </c>
      <c r="C569" s="1" t="n">
        <v>45356</v>
      </c>
      <c r="D569" t="inlineStr">
        <is>
          <t>VÄSTRA GÖTALANDS LÄN</t>
        </is>
      </c>
      <c r="E569" t="inlineStr">
        <is>
          <t>FALKÖPING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60292-2023</t>
        </is>
      </c>
      <c r="B570" s="1" t="n">
        <v>45257</v>
      </c>
      <c r="C570" s="1" t="n">
        <v>45356</v>
      </c>
      <c r="D570" t="inlineStr">
        <is>
          <t>VÄSTRA GÖTALANDS LÄN</t>
        </is>
      </c>
      <c r="E570" t="inlineStr">
        <is>
          <t>FALKÖPING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60524-2023</t>
        </is>
      </c>
      <c r="B571" s="1" t="n">
        <v>45259</v>
      </c>
      <c r="C571" s="1" t="n">
        <v>45356</v>
      </c>
      <c r="D571" t="inlineStr">
        <is>
          <t>VÄSTRA GÖTALANDS LÄN</t>
        </is>
      </c>
      <c r="E571" t="inlineStr">
        <is>
          <t>FALKÖPING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60485-2023</t>
        </is>
      </c>
      <c r="B572" s="1" t="n">
        <v>45259</v>
      </c>
      <c r="C572" s="1" t="n">
        <v>45356</v>
      </c>
      <c r="D572" t="inlineStr">
        <is>
          <t>VÄSTRA GÖTALANDS LÄN</t>
        </is>
      </c>
      <c r="E572" t="inlineStr">
        <is>
          <t>FALKÖPING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61272-2023</t>
        </is>
      </c>
      <c r="B573" s="1" t="n">
        <v>45264</v>
      </c>
      <c r="C573" s="1" t="n">
        <v>45356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61263-2023</t>
        </is>
      </c>
      <c r="B574" s="1" t="n">
        <v>45264</v>
      </c>
      <c r="C574" s="1" t="n">
        <v>45356</v>
      </c>
      <c r="D574" t="inlineStr">
        <is>
          <t>VÄSTRA GÖTALANDS LÄN</t>
        </is>
      </c>
      <c r="E574" t="inlineStr">
        <is>
          <t>FALKÖPING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61881-2023</t>
        </is>
      </c>
      <c r="B575" s="1" t="n">
        <v>45266</v>
      </c>
      <c r="C575" s="1" t="n">
        <v>45356</v>
      </c>
      <c r="D575" t="inlineStr">
        <is>
          <t>VÄSTRA GÖTALANDS LÄN</t>
        </is>
      </c>
      <c r="E575" t="inlineStr">
        <is>
          <t>FALKÖPING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61924-2023</t>
        </is>
      </c>
      <c r="B576" s="1" t="n">
        <v>45266</v>
      </c>
      <c r="C576" s="1" t="n">
        <v>45356</v>
      </c>
      <c r="D576" t="inlineStr">
        <is>
          <t>VÄSTRA GÖTALANDS LÄN</t>
        </is>
      </c>
      <c r="E576" t="inlineStr">
        <is>
          <t>FALKÖPING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61893-2023</t>
        </is>
      </c>
      <c r="B577" s="1" t="n">
        <v>45266</v>
      </c>
      <c r="C577" s="1" t="n">
        <v>45356</v>
      </c>
      <c r="D577" t="inlineStr">
        <is>
          <t>VÄSTRA GÖTALANDS LÄN</t>
        </is>
      </c>
      <c r="E577" t="inlineStr">
        <is>
          <t>FALKÖPING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62315-2023</t>
        </is>
      </c>
      <c r="B578" s="1" t="n">
        <v>45267</v>
      </c>
      <c r="C578" s="1" t="n">
        <v>45356</v>
      </c>
      <c r="D578" t="inlineStr">
        <is>
          <t>VÄSTRA GÖTALANDS LÄN</t>
        </is>
      </c>
      <c r="E578" t="inlineStr">
        <is>
          <t>FALKÖPING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62710-2023</t>
        </is>
      </c>
      <c r="B579" s="1" t="n">
        <v>45271</v>
      </c>
      <c r="C579" s="1" t="n">
        <v>45356</v>
      </c>
      <c r="D579" t="inlineStr">
        <is>
          <t>VÄSTRA GÖTALANDS LÄN</t>
        </is>
      </c>
      <c r="E579" t="inlineStr">
        <is>
          <t>FALKÖPING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62709-2023</t>
        </is>
      </c>
      <c r="B580" s="1" t="n">
        <v>45271</v>
      </c>
      <c r="C580" s="1" t="n">
        <v>45356</v>
      </c>
      <c r="D580" t="inlineStr">
        <is>
          <t>VÄSTRA GÖTALANDS LÄN</t>
        </is>
      </c>
      <c r="E580" t="inlineStr">
        <is>
          <t>FALKÖPING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63470-2023</t>
        </is>
      </c>
      <c r="B581" s="1" t="n">
        <v>45274</v>
      </c>
      <c r="C581" s="1" t="n">
        <v>45356</v>
      </c>
      <c r="D581" t="inlineStr">
        <is>
          <t>VÄSTRA GÖTALANDS LÄN</t>
        </is>
      </c>
      <c r="E581" t="inlineStr">
        <is>
          <t>FALKÖPING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63460-2023</t>
        </is>
      </c>
      <c r="B582" s="1" t="n">
        <v>45274</v>
      </c>
      <c r="C582" s="1" t="n">
        <v>45356</v>
      </c>
      <c r="D582" t="inlineStr">
        <is>
          <t>VÄSTRA GÖTALANDS LÄN</t>
        </is>
      </c>
      <c r="E582" t="inlineStr">
        <is>
          <t>FALKÖPING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64022-2023</t>
        </is>
      </c>
      <c r="B583" s="1" t="n">
        <v>45278</v>
      </c>
      <c r="C583" s="1" t="n">
        <v>45356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64142-2023</t>
        </is>
      </c>
      <c r="B584" s="1" t="n">
        <v>45279</v>
      </c>
      <c r="C584" s="1" t="n">
        <v>45356</v>
      </c>
      <c r="D584" t="inlineStr">
        <is>
          <t>VÄSTRA GÖTALANDS LÄN</t>
        </is>
      </c>
      <c r="E584" t="inlineStr">
        <is>
          <t>FALKÖPING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64204-2023</t>
        </is>
      </c>
      <c r="B585" s="1" t="n">
        <v>45279</v>
      </c>
      <c r="C585" s="1" t="n">
        <v>45356</v>
      </c>
      <c r="D585" t="inlineStr">
        <is>
          <t>VÄSTRA GÖTALANDS LÄN</t>
        </is>
      </c>
      <c r="E585" t="inlineStr">
        <is>
          <t>FALKÖPING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64834-2023</t>
        </is>
      </c>
      <c r="B586" s="1" t="n">
        <v>45282</v>
      </c>
      <c r="C586" s="1" t="n">
        <v>45356</v>
      </c>
      <c r="D586" t="inlineStr">
        <is>
          <t>VÄSTRA GÖTALANDS LÄN</t>
        </is>
      </c>
      <c r="E586" t="inlineStr">
        <is>
          <t>FALKÖPING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65132-2023</t>
        </is>
      </c>
      <c r="B587" s="1" t="n">
        <v>45288</v>
      </c>
      <c r="C587" s="1" t="n">
        <v>45356</v>
      </c>
      <c r="D587" t="inlineStr">
        <is>
          <t>VÄSTRA GÖTALANDS LÄN</t>
        </is>
      </c>
      <c r="E587" t="inlineStr">
        <is>
          <t>FALKÖPING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374-2024</t>
        </is>
      </c>
      <c r="B588" s="1" t="n">
        <v>45296</v>
      </c>
      <c r="C588" s="1" t="n">
        <v>45356</v>
      </c>
      <c r="D588" t="inlineStr">
        <is>
          <t>VÄSTRA GÖTALANDS LÄN</t>
        </is>
      </c>
      <c r="E588" t="inlineStr">
        <is>
          <t>FALKÖPING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654-2024</t>
        </is>
      </c>
      <c r="B589" s="1" t="n">
        <v>45299</v>
      </c>
      <c r="C589" s="1" t="n">
        <v>45356</v>
      </c>
      <c r="D589" t="inlineStr">
        <is>
          <t>VÄSTRA GÖTALANDS LÄN</t>
        </is>
      </c>
      <c r="E589" t="inlineStr">
        <is>
          <t>FALKÖPING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1388-2024</t>
        </is>
      </c>
      <c r="B590" s="1" t="n">
        <v>45303</v>
      </c>
      <c r="C590" s="1" t="n">
        <v>45356</v>
      </c>
      <c r="D590" t="inlineStr">
        <is>
          <t>VÄSTRA GÖTALANDS LÄN</t>
        </is>
      </c>
      <c r="E590" t="inlineStr">
        <is>
          <t>FALKÖPING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1567-2024</t>
        </is>
      </c>
      <c r="B591" s="1" t="n">
        <v>45306</v>
      </c>
      <c r="C591" s="1" t="n">
        <v>45356</v>
      </c>
      <c r="D591" t="inlineStr">
        <is>
          <t>VÄSTRA GÖTALANDS LÄN</t>
        </is>
      </c>
      <c r="E591" t="inlineStr">
        <is>
          <t>FALKÖPING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1852-2024</t>
        </is>
      </c>
      <c r="B592" s="1" t="n">
        <v>45307</v>
      </c>
      <c r="C592" s="1" t="n">
        <v>45356</v>
      </c>
      <c r="D592" t="inlineStr">
        <is>
          <t>VÄSTRA GÖTALANDS LÄN</t>
        </is>
      </c>
      <c r="E592" t="inlineStr">
        <is>
          <t>FALKÖPING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1859-2024</t>
        </is>
      </c>
      <c r="B593" s="1" t="n">
        <v>45307</v>
      </c>
      <c r="C593" s="1" t="n">
        <v>45356</v>
      </c>
      <c r="D593" t="inlineStr">
        <is>
          <t>VÄSTRA GÖTALANDS LÄN</t>
        </is>
      </c>
      <c r="E593" t="inlineStr">
        <is>
          <t>FALKÖPING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1796-2024</t>
        </is>
      </c>
      <c r="B594" s="1" t="n">
        <v>45307</v>
      </c>
      <c r="C594" s="1" t="n">
        <v>45356</v>
      </c>
      <c r="D594" t="inlineStr">
        <is>
          <t>VÄSTRA GÖTALANDS LÄN</t>
        </is>
      </c>
      <c r="E594" t="inlineStr">
        <is>
          <t>FALKÖPING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1792-2024</t>
        </is>
      </c>
      <c r="B595" s="1" t="n">
        <v>45307</v>
      </c>
      <c r="C595" s="1" t="n">
        <v>45356</v>
      </c>
      <c r="D595" t="inlineStr">
        <is>
          <t>VÄSTRA GÖTALANDS LÄN</t>
        </is>
      </c>
      <c r="E595" t="inlineStr">
        <is>
          <t>FALKÖPING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1858-2024</t>
        </is>
      </c>
      <c r="B596" s="1" t="n">
        <v>45307</v>
      </c>
      <c r="C596" s="1" t="n">
        <v>45356</v>
      </c>
      <c r="D596" t="inlineStr">
        <is>
          <t>VÄSTRA GÖTALANDS LÄN</t>
        </is>
      </c>
      <c r="E596" t="inlineStr">
        <is>
          <t>FALKÖPING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2791-2024</t>
        </is>
      </c>
      <c r="B597" s="1" t="n">
        <v>45314</v>
      </c>
      <c r="C597" s="1" t="n">
        <v>45356</v>
      </c>
      <c r="D597" t="inlineStr">
        <is>
          <t>VÄSTRA GÖTALANDS LÄN</t>
        </is>
      </c>
      <c r="E597" t="inlineStr">
        <is>
          <t>FALKÖPING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3300-2024</t>
        </is>
      </c>
      <c r="B598" s="1" t="n">
        <v>45317</v>
      </c>
      <c r="C598" s="1" t="n">
        <v>45356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4150-2024</t>
        </is>
      </c>
      <c r="B599" s="1" t="n">
        <v>45323</v>
      </c>
      <c r="C599" s="1" t="n">
        <v>45356</v>
      </c>
      <c r="D599" t="inlineStr">
        <is>
          <t>VÄSTRA GÖTALANDS LÄN</t>
        </is>
      </c>
      <c r="E599" t="inlineStr">
        <is>
          <t>FALKÖPING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4151-2024</t>
        </is>
      </c>
      <c r="B600" s="1" t="n">
        <v>45323</v>
      </c>
      <c r="C600" s="1" t="n">
        <v>45356</v>
      </c>
      <c r="D600" t="inlineStr">
        <is>
          <t>VÄSTRA GÖTALANDS LÄN</t>
        </is>
      </c>
      <c r="E600" t="inlineStr">
        <is>
          <t>FALKÖPING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4214-2024</t>
        </is>
      </c>
      <c r="B601" s="1" t="n">
        <v>45324</v>
      </c>
      <c r="C601" s="1" t="n">
        <v>45356</v>
      </c>
      <c r="D601" t="inlineStr">
        <is>
          <t>VÄSTRA GÖTALANDS LÄN</t>
        </is>
      </c>
      <c r="E601" t="inlineStr">
        <is>
          <t>FALKÖPING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4637-2024</t>
        </is>
      </c>
      <c r="B602" s="1" t="n">
        <v>45328</v>
      </c>
      <c r="C602" s="1" t="n">
        <v>45356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5228-2024</t>
        </is>
      </c>
      <c r="B603" s="1" t="n">
        <v>45330</v>
      </c>
      <c r="C603" s="1" t="n">
        <v>45356</v>
      </c>
      <c r="D603" t="inlineStr">
        <is>
          <t>VÄSTRA GÖTALANDS LÄN</t>
        </is>
      </c>
      <c r="E603" t="inlineStr">
        <is>
          <t>FALKÖPING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5486-2024</t>
        </is>
      </c>
      <c r="B604" s="1" t="n">
        <v>45334</v>
      </c>
      <c r="C604" s="1" t="n">
        <v>45356</v>
      </c>
      <c r="D604" t="inlineStr">
        <is>
          <t>VÄSTRA GÖTALANDS LÄN</t>
        </is>
      </c>
      <c r="E604" t="inlineStr">
        <is>
          <t>FALKÖPING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5487-2024</t>
        </is>
      </c>
      <c r="B605" s="1" t="n">
        <v>45334</v>
      </c>
      <c r="C605" s="1" t="n">
        <v>45356</v>
      </c>
      <c r="D605" t="inlineStr">
        <is>
          <t>VÄSTRA GÖTALANDS LÄN</t>
        </is>
      </c>
      <c r="E605" t="inlineStr">
        <is>
          <t>FALKÖPING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45356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45356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45356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45356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45356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7015-2024</t>
        </is>
      </c>
      <c r="B611" s="1" t="n">
        <v>45343</v>
      </c>
      <c r="C611" s="1" t="n">
        <v>45356</v>
      </c>
      <c r="D611" t="inlineStr">
        <is>
          <t>VÄSTRA GÖTALANDS LÄN</t>
        </is>
      </c>
      <c r="E611" t="inlineStr">
        <is>
          <t>FALKÖPING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6952-2024</t>
        </is>
      </c>
      <c r="B612" s="1" t="n">
        <v>45343</v>
      </c>
      <c r="C612" s="1" t="n">
        <v>45356</v>
      </c>
      <c r="D612" t="inlineStr">
        <is>
          <t>VÄSTRA GÖTALANDS LÄN</t>
        </is>
      </c>
      <c r="E612" t="inlineStr">
        <is>
          <t>FALKÖPING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45356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8345-2024</t>
        </is>
      </c>
      <c r="B614" s="1" t="n">
        <v>45352</v>
      </c>
      <c r="C614" s="1" t="n">
        <v>45356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2024-03-05T13:23:41Z</dcterms:created>
  <dcterms:modified xmlns:dcterms="http://purl.org/dc/terms/" xmlns:xsi="http://www.w3.org/2001/XMLSchema-instance" xsi:type="dcterms:W3CDTF">2024-03-05T13:23:42Z</dcterms:modified>
</cp:coreProperties>
</file>